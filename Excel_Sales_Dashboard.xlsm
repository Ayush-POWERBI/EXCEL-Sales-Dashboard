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Ayush_PC\Documents\"/>
    </mc:Choice>
  </mc:AlternateContent>
  <xr:revisionPtr revIDLastSave="0" documentId="13_ncr:1_{95042492-0FBE-4E19-911F-DE07CB7BF735}" xr6:coauthVersionLast="47" xr6:coauthVersionMax="47" xr10:uidLastSave="{00000000-0000-0000-0000-000000000000}"/>
  <bookViews>
    <workbookView xWindow="-108" yWindow="-108" windowWidth="23256" windowHeight="12456" xr2:uid="{4E008A0D-B727-4973-8369-7330850AFC7B}"/>
  </bookViews>
  <sheets>
    <sheet name="Sheet1" sheetId="8"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4" i="1" l="1"/>
  <c r="K144" i="1" s="1"/>
  <c r="L144" i="1" s="1"/>
  <c r="I3" i="1"/>
  <c r="K3" i="1" s="1"/>
  <c r="L3" i="1" s="1"/>
  <c r="I4" i="1"/>
  <c r="K4" i="1" s="1"/>
  <c r="L4" i="1" s="1"/>
  <c r="I5" i="1"/>
  <c r="K5" i="1" s="1"/>
  <c r="L5" i="1" s="1"/>
  <c r="I6" i="1"/>
  <c r="K6" i="1" s="1"/>
  <c r="L6" i="1" s="1"/>
  <c r="I7" i="1"/>
  <c r="K7" i="1" s="1"/>
  <c r="L7" i="1" s="1"/>
  <c r="I8" i="1"/>
  <c r="K8" i="1" s="1"/>
  <c r="L8" i="1" s="1"/>
  <c r="I9" i="1"/>
  <c r="K9" i="1" s="1"/>
  <c r="L9" i="1" s="1"/>
  <c r="I10" i="1"/>
  <c r="K10" i="1" s="1"/>
  <c r="L10" i="1" s="1"/>
  <c r="I11" i="1"/>
  <c r="I12" i="1"/>
  <c r="K12" i="1" s="1"/>
  <c r="L12" i="1" s="1"/>
  <c r="I13" i="1"/>
  <c r="K13" i="1" s="1"/>
  <c r="L13" i="1" s="1"/>
  <c r="I14" i="1"/>
  <c r="K14" i="1" s="1"/>
  <c r="L14" i="1" s="1"/>
  <c r="I15" i="1"/>
  <c r="K15" i="1" s="1"/>
  <c r="L15" i="1" s="1"/>
  <c r="I16" i="1"/>
  <c r="K16" i="1" s="1"/>
  <c r="L16" i="1" s="1"/>
  <c r="I17" i="1"/>
  <c r="K17" i="1" s="1"/>
  <c r="L17" i="1" s="1"/>
  <c r="I18" i="1"/>
  <c r="K18" i="1" s="1"/>
  <c r="L18" i="1" s="1"/>
  <c r="I19" i="1"/>
  <c r="K19" i="1" s="1"/>
  <c r="L19" i="1" s="1"/>
  <c r="I20" i="1"/>
  <c r="K20" i="1" s="1"/>
  <c r="L20" i="1" s="1"/>
  <c r="I21" i="1"/>
  <c r="K21" i="1" s="1"/>
  <c r="L21" i="1" s="1"/>
  <c r="I22" i="1"/>
  <c r="K22" i="1" s="1"/>
  <c r="L22" i="1" s="1"/>
  <c r="I23" i="1"/>
  <c r="K23" i="1" s="1"/>
  <c r="L23" i="1" s="1"/>
  <c r="I24" i="1"/>
  <c r="I25" i="1"/>
  <c r="K25" i="1" s="1"/>
  <c r="L25" i="1" s="1"/>
  <c r="I26" i="1"/>
  <c r="K26" i="1" s="1"/>
  <c r="L26" i="1" s="1"/>
  <c r="I27" i="1"/>
  <c r="K27" i="1" s="1"/>
  <c r="L27" i="1" s="1"/>
  <c r="I28" i="1"/>
  <c r="K28" i="1" s="1"/>
  <c r="L28" i="1" s="1"/>
  <c r="I29" i="1"/>
  <c r="K29" i="1" s="1"/>
  <c r="L29" i="1" s="1"/>
  <c r="I30" i="1"/>
  <c r="K30" i="1" s="1"/>
  <c r="L30" i="1" s="1"/>
  <c r="I31" i="1"/>
  <c r="K31" i="1" s="1"/>
  <c r="L31" i="1" s="1"/>
  <c r="I32" i="1"/>
  <c r="K32" i="1" s="1"/>
  <c r="L32" i="1" s="1"/>
  <c r="I33" i="1"/>
  <c r="K33" i="1" s="1"/>
  <c r="L33" i="1" s="1"/>
  <c r="I34" i="1"/>
  <c r="K34" i="1" s="1"/>
  <c r="L34" i="1" s="1"/>
  <c r="I35" i="1"/>
  <c r="I36" i="1"/>
  <c r="K36" i="1" s="1"/>
  <c r="L36" i="1" s="1"/>
  <c r="I37" i="1"/>
  <c r="K37" i="1" s="1"/>
  <c r="L37" i="1" s="1"/>
  <c r="I38" i="1"/>
  <c r="K38" i="1" s="1"/>
  <c r="L38" i="1" s="1"/>
  <c r="I39" i="1"/>
  <c r="K39" i="1" s="1"/>
  <c r="L39" i="1" s="1"/>
  <c r="I40" i="1"/>
  <c r="K40" i="1" s="1"/>
  <c r="L40" i="1" s="1"/>
  <c r="I41" i="1"/>
  <c r="K41" i="1" s="1"/>
  <c r="L41" i="1" s="1"/>
  <c r="I42" i="1"/>
  <c r="K42" i="1" s="1"/>
  <c r="L42" i="1" s="1"/>
  <c r="I43" i="1"/>
  <c r="K43" i="1" s="1"/>
  <c r="L43" i="1" s="1"/>
  <c r="I44" i="1"/>
  <c r="K44" i="1" s="1"/>
  <c r="L44" i="1" s="1"/>
  <c r="I45" i="1"/>
  <c r="K45" i="1" s="1"/>
  <c r="L45" i="1" s="1"/>
  <c r="I46" i="1"/>
  <c r="K46" i="1" s="1"/>
  <c r="L46" i="1" s="1"/>
  <c r="I47" i="1"/>
  <c r="K47" i="1" s="1"/>
  <c r="L47" i="1" s="1"/>
  <c r="I48" i="1"/>
  <c r="I49" i="1"/>
  <c r="K49" i="1" s="1"/>
  <c r="L49" i="1" s="1"/>
  <c r="I50" i="1"/>
  <c r="K50" i="1" s="1"/>
  <c r="L50" i="1" s="1"/>
  <c r="I51" i="1"/>
  <c r="I52" i="1"/>
  <c r="K52" i="1" s="1"/>
  <c r="L52" i="1" s="1"/>
  <c r="I53" i="1"/>
  <c r="K53" i="1" s="1"/>
  <c r="L53" i="1" s="1"/>
  <c r="I54" i="1"/>
  <c r="K54" i="1" s="1"/>
  <c r="L54" i="1" s="1"/>
  <c r="I55" i="1"/>
  <c r="K55" i="1" s="1"/>
  <c r="L55" i="1" s="1"/>
  <c r="I56" i="1"/>
  <c r="K56" i="1" s="1"/>
  <c r="L56" i="1" s="1"/>
  <c r="I57" i="1"/>
  <c r="K57" i="1" s="1"/>
  <c r="L57" i="1" s="1"/>
  <c r="I58" i="1"/>
  <c r="K58" i="1" s="1"/>
  <c r="L58" i="1" s="1"/>
  <c r="I59" i="1"/>
  <c r="K59" i="1" s="1"/>
  <c r="L59" i="1" s="1"/>
  <c r="I60" i="1"/>
  <c r="K60" i="1" s="1"/>
  <c r="L60" i="1" s="1"/>
  <c r="I61" i="1"/>
  <c r="K61" i="1" s="1"/>
  <c r="L61" i="1" s="1"/>
  <c r="I62" i="1"/>
  <c r="K62" i="1" s="1"/>
  <c r="L62" i="1" s="1"/>
  <c r="I63" i="1"/>
  <c r="K63" i="1" s="1"/>
  <c r="L63" i="1" s="1"/>
  <c r="I64" i="1"/>
  <c r="K64" i="1" s="1"/>
  <c r="L64" i="1" s="1"/>
  <c r="I65" i="1"/>
  <c r="K65" i="1" s="1"/>
  <c r="L65" i="1" s="1"/>
  <c r="I66" i="1"/>
  <c r="K66" i="1" s="1"/>
  <c r="L66" i="1" s="1"/>
  <c r="I67" i="1"/>
  <c r="K67" i="1" s="1"/>
  <c r="L67" i="1" s="1"/>
  <c r="I68" i="1"/>
  <c r="K68" i="1" s="1"/>
  <c r="L68" i="1" s="1"/>
  <c r="I69" i="1"/>
  <c r="K69" i="1" s="1"/>
  <c r="L69" i="1" s="1"/>
  <c r="I70" i="1"/>
  <c r="K70" i="1" s="1"/>
  <c r="L70" i="1" s="1"/>
  <c r="I71" i="1"/>
  <c r="K71" i="1" s="1"/>
  <c r="L71" i="1" s="1"/>
  <c r="I72" i="1"/>
  <c r="K72" i="1" s="1"/>
  <c r="L72" i="1" s="1"/>
  <c r="I73" i="1"/>
  <c r="K73" i="1" s="1"/>
  <c r="L73" i="1" s="1"/>
  <c r="I74" i="1"/>
  <c r="K74" i="1" s="1"/>
  <c r="L74" i="1" s="1"/>
  <c r="I75" i="1"/>
  <c r="K75" i="1" s="1"/>
  <c r="L75" i="1" s="1"/>
  <c r="I76" i="1"/>
  <c r="K76" i="1" s="1"/>
  <c r="L76" i="1" s="1"/>
  <c r="I77" i="1"/>
  <c r="K77" i="1" s="1"/>
  <c r="L77" i="1" s="1"/>
  <c r="I78" i="1"/>
  <c r="K78" i="1" s="1"/>
  <c r="L78" i="1" s="1"/>
  <c r="I79" i="1"/>
  <c r="K79" i="1" s="1"/>
  <c r="L79" i="1" s="1"/>
  <c r="I80" i="1"/>
  <c r="I81" i="1"/>
  <c r="K81" i="1" s="1"/>
  <c r="L81" i="1" s="1"/>
  <c r="I82" i="1"/>
  <c r="K82" i="1" s="1"/>
  <c r="L82" i="1" s="1"/>
  <c r="I83" i="1"/>
  <c r="K83" i="1" s="1"/>
  <c r="L83" i="1" s="1"/>
  <c r="I84" i="1"/>
  <c r="K84" i="1" s="1"/>
  <c r="L84" i="1" s="1"/>
  <c r="I85" i="1"/>
  <c r="K85" i="1" s="1"/>
  <c r="L85" i="1" s="1"/>
  <c r="I86" i="1"/>
  <c r="K86" i="1" s="1"/>
  <c r="L86" i="1" s="1"/>
  <c r="I87" i="1"/>
  <c r="K87" i="1" s="1"/>
  <c r="L87" i="1" s="1"/>
  <c r="I88" i="1"/>
  <c r="K88" i="1" s="1"/>
  <c r="L88" i="1" s="1"/>
  <c r="I89" i="1"/>
  <c r="K89" i="1" s="1"/>
  <c r="L89" i="1" s="1"/>
  <c r="I90" i="1"/>
  <c r="K90" i="1" s="1"/>
  <c r="L90" i="1" s="1"/>
  <c r="I91" i="1"/>
  <c r="K91" i="1" s="1"/>
  <c r="L91" i="1" s="1"/>
  <c r="I92" i="1"/>
  <c r="K92" i="1" s="1"/>
  <c r="L92" i="1" s="1"/>
  <c r="I93" i="1"/>
  <c r="K93" i="1" s="1"/>
  <c r="L93" i="1" s="1"/>
  <c r="I94" i="1"/>
  <c r="K94" i="1" s="1"/>
  <c r="L94" i="1" s="1"/>
  <c r="I95" i="1"/>
  <c r="K95" i="1" s="1"/>
  <c r="L95" i="1" s="1"/>
  <c r="I96" i="1"/>
  <c r="K96" i="1" s="1"/>
  <c r="L96" i="1" s="1"/>
  <c r="I97" i="1"/>
  <c r="K97" i="1" s="1"/>
  <c r="L97" i="1" s="1"/>
  <c r="I98" i="1"/>
  <c r="K98" i="1" s="1"/>
  <c r="L98" i="1" s="1"/>
  <c r="I99" i="1"/>
  <c r="K99" i="1" s="1"/>
  <c r="L99" i="1" s="1"/>
  <c r="I100" i="1"/>
  <c r="K100" i="1" s="1"/>
  <c r="L100" i="1" s="1"/>
  <c r="I101" i="1"/>
  <c r="K101" i="1" s="1"/>
  <c r="L101" i="1" s="1"/>
  <c r="I102" i="1"/>
  <c r="K102" i="1" s="1"/>
  <c r="L102" i="1" s="1"/>
  <c r="I103" i="1"/>
  <c r="K103" i="1" s="1"/>
  <c r="L103" i="1" s="1"/>
  <c r="I104" i="1"/>
  <c r="K104" i="1" s="1"/>
  <c r="L104" i="1" s="1"/>
  <c r="I105" i="1"/>
  <c r="K105" i="1" s="1"/>
  <c r="L105" i="1" s="1"/>
  <c r="I106" i="1"/>
  <c r="K106" i="1" s="1"/>
  <c r="L106" i="1" s="1"/>
  <c r="I107" i="1"/>
  <c r="K107" i="1" s="1"/>
  <c r="L107" i="1" s="1"/>
  <c r="I108" i="1"/>
  <c r="K108" i="1" s="1"/>
  <c r="L108" i="1" s="1"/>
  <c r="I109" i="1"/>
  <c r="K109" i="1" s="1"/>
  <c r="L109" i="1" s="1"/>
  <c r="I110" i="1"/>
  <c r="K110" i="1" s="1"/>
  <c r="L110" i="1" s="1"/>
  <c r="I111" i="1"/>
  <c r="K111" i="1" s="1"/>
  <c r="L111" i="1" s="1"/>
  <c r="I112" i="1"/>
  <c r="K112" i="1" s="1"/>
  <c r="L112" i="1" s="1"/>
  <c r="I113" i="1"/>
  <c r="K113" i="1" s="1"/>
  <c r="L113" i="1" s="1"/>
  <c r="I114" i="1"/>
  <c r="I115" i="1"/>
  <c r="K115" i="1" s="1"/>
  <c r="L115" i="1" s="1"/>
  <c r="I116" i="1"/>
  <c r="K116" i="1" s="1"/>
  <c r="L116" i="1" s="1"/>
  <c r="I117" i="1"/>
  <c r="K117" i="1" s="1"/>
  <c r="L117" i="1" s="1"/>
  <c r="I118" i="1"/>
  <c r="K118" i="1" s="1"/>
  <c r="L118" i="1" s="1"/>
  <c r="I119" i="1"/>
  <c r="K119" i="1" s="1"/>
  <c r="L119" i="1" s="1"/>
  <c r="I120" i="1"/>
  <c r="K120" i="1" s="1"/>
  <c r="L120" i="1" s="1"/>
  <c r="I121" i="1"/>
  <c r="K121" i="1" s="1"/>
  <c r="L121" i="1" s="1"/>
  <c r="I122" i="1"/>
  <c r="K122" i="1" s="1"/>
  <c r="L122" i="1" s="1"/>
  <c r="I123" i="1"/>
  <c r="K123" i="1" s="1"/>
  <c r="L123" i="1" s="1"/>
  <c r="I124" i="1"/>
  <c r="K124" i="1" s="1"/>
  <c r="L124" i="1" s="1"/>
  <c r="I125" i="1"/>
  <c r="K125" i="1" s="1"/>
  <c r="L125" i="1" s="1"/>
  <c r="I126" i="1"/>
  <c r="K126" i="1" s="1"/>
  <c r="L126" i="1" s="1"/>
  <c r="I127" i="1"/>
  <c r="K127" i="1" s="1"/>
  <c r="L127" i="1" s="1"/>
  <c r="I128" i="1"/>
  <c r="K128" i="1" s="1"/>
  <c r="L128" i="1" s="1"/>
  <c r="I129" i="1"/>
  <c r="K129" i="1" s="1"/>
  <c r="L129" i="1" s="1"/>
  <c r="I130" i="1"/>
  <c r="K130" i="1" s="1"/>
  <c r="L130" i="1" s="1"/>
  <c r="I131" i="1"/>
  <c r="K131" i="1" s="1"/>
  <c r="L131" i="1" s="1"/>
  <c r="I132" i="1"/>
  <c r="I133" i="1"/>
  <c r="K133" i="1" s="1"/>
  <c r="L133" i="1" s="1"/>
  <c r="I134" i="1"/>
  <c r="K134" i="1" s="1"/>
  <c r="L134" i="1" s="1"/>
  <c r="I135" i="1"/>
  <c r="K135" i="1" s="1"/>
  <c r="L135" i="1" s="1"/>
  <c r="I136" i="1"/>
  <c r="K136" i="1" s="1"/>
  <c r="L136" i="1" s="1"/>
  <c r="I137" i="1"/>
  <c r="K137" i="1" s="1"/>
  <c r="L137" i="1" s="1"/>
  <c r="I138" i="1"/>
  <c r="I139" i="1"/>
  <c r="K139" i="1" s="1"/>
  <c r="L139" i="1" s="1"/>
  <c r="I140" i="1"/>
  <c r="K140" i="1" s="1"/>
  <c r="L140" i="1" s="1"/>
  <c r="I141" i="1"/>
  <c r="K141" i="1" s="1"/>
  <c r="L141" i="1" s="1"/>
  <c r="I142" i="1"/>
  <c r="K142" i="1" s="1"/>
  <c r="L142" i="1" s="1"/>
  <c r="I143" i="1"/>
  <c r="I145" i="1"/>
  <c r="K145" i="1" s="1"/>
  <c r="L145" i="1" s="1"/>
  <c r="I146" i="1"/>
  <c r="K146" i="1" s="1"/>
  <c r="L146" i="1" s="1"/>
  <c r="I147" i="1"/>
  <c r="K147" i="1" s="1"/>
  <c r="L147" i="1" s="1"/>
  <c r="I148" i="1"/>
  <c r="K148" i="1" s="1"/>
  <c r="L148" i="1" s="1"/>
  <c r="I149" i="1"/>
  <c r="K149" i="1" s="1"/>
  <c r="L149" i="1" s="1"/>
  <c r="I150" i="1"/>
  <c r="K150" i="1" s="1"/>
  <c r="L150" i="1" s="1"/>
  <c r="K11" i="1"/>
  <c r="L11" i="1" s="1"/>
  <c r="K24" i="1"/>
  <c r="L24" i="1" s="1"/>
  <c r="K35" i="1"/>
  <c r="L35" i="1" s="1"/>
  <c r="K48" i="1"/>
  <c r="L48" i="1" s="1"/>
  <c r="K51" i="1"/>
  <c r="L51" i="1" s="1"/>
  <c r="K80" i="1"/>
  <c r="L80" i="1" s="1"/>
  <c r="K114" i="1"/>
  <c r="L114" i="1" s="1"/>
  <c r="K132" i="1"/>
  <c r="L132" i="1" s="1"/>
  <c r="K138" i="1"/>
  <c r="L138" i="1" s="1"/>
  <c r="K143" i="1"/>
  <c r="L143" i="1" s="1"/>
  <c r="I2" i="1"/>
  <c r="K2" i="1" s="1"/>
  <c r="L2" i="1" s="1"/>
</calcChain>
</file>

<file path=xl/sharedStrings.xml><?xml version="1.0" encoding="utf-8"?>
<sst xmlns="http://schemas.openxmlformats.org/spreadsheetml/2006/main" count="487" uniqueCount="323">
  <si>
    <t>EMP-001</t>
  </si>
  <si>
    <t>EMP-002</t>
  </si>
  <si>
    <t>EMP-003</t>
  </si>
  <si>
    <t>EMP-004</t>
  </si>
  <si>
    <t>EMP-005</t>
  </si>
  <si>
    <t>EMP-006</t>
  </si>
  <si>
    <t>EMP-007</t>
  </si>
  <si>
    <t>EMP-008</t>
  </si>
  <si>
    <t>EMP-009</t>
  </si>
  <si>
    <t>EMP-010</t>
  </si>
  <si>
    <t>EMP-011</t>
  </si>
  <si>
    <t>EMP-012</t>
  </si>
  <si>
    <t>EMP-013</t>
  </si>
  <si>
    <t>EMP-014</t>
  </si>
  <si>
    <t>EMP-015</t>
  </si>
  <si>
    <t>EMP-016</t>
  </si>
  <si>
    <t>EMP-017</t>
  </si>
  <si>
    <t>EMP-018</t>
  </si>
  <si>
    <t>EMP-019</t>
  </si>
  <si>
    <t>EMP-020</t>
  </si>
  <si>
    <t>EMP-021</t>
  </si>
  <si>
    <t>EMP-022</t>
  </si>
  <si>
    <t>EMP-023</t>
  </si>
  <si>
    <t>EMP-024</t>
  </si>
  <si>
    <t>EMP-025</t>
  </si>
  <si>
    <t>EMP-026</t>
  </si>
  <si>
    <t>EMP-027</t>
  </si>
  <si>
    <t>EMP-028</t>
  </si>
  <si>
    <t>EMP-029</t>
  </si>
  <si>
    <t>EMP-030</t>
  </si>
  <si>
    <t>EMP-031</t>
  </si>
  <si>
    <t>EMP-032</t>
  </si>
  <si>
    <t>EMP-033</t>
  </si>
  <si>
    <t>EMP-034</t>
  </si>
  <si>
    <t>EMP-035</t>
  </si>
  <si>
    <t>EMP-036</t>
  </si>
  <si>
    <t>EMP-037</t>
  </si>
  <si>
    <t>EMP-038</t>
  </si>
  <si>
    <t>EMP-039</t>
  </si>
  <si>
    <t>EMP-040</t>
  </si>
  <si>
    <t>EMP-041</t>
  </si>
  <si>
    <t>EMP-042</t>
  </si>
  <si>
    <t>EMP-043</t>
  </si>
  <si>
    <t>EMP-044</t>
  </si>
  <si>
    <t>EMP-045</t>
  </si>
  <si>
    <t>EMP-046</t>
  </si>
  <si>
    <t>EMP-047</t>
  </si>
  <si>
    <t>EMP-048</t>
  </si>
  <si>
    <t>EMP-049</t>
  </si>
  <si>
    <t>EMP-050</t>
  </si>
  <si>
    <t>EMP-051</t>
  </si>
  <si>
    <t>EMP-052</t>
  </si>
  <si>
    <t>EMP-053</t>
  </si>
  <si>
    <t>EMP-054</t>
  </si>
  <si>
    <t>EMP-055</t>
  </si>
  <si>
    <t>EMP-056</t>
  </si>
  <si>
    <t>EMP-057</t>
  </si>
  <si>
    <t>EMP-058</t>
  </si>
  <si>
    <t>EMP-059</t>
  </si>
  <si>
    <t>EMP-060</t>
  </si>
  <si>
    <t>EMP-061</t>
  </si>
  <si>
    <t>EMP-062</t>
  </si>
  <si>
    <t>EMP-063</t>
  </si>
  <si>
    <t>EMP-064</t>
  </si>
  <si>
    <t>EMP-065</t>
  </si>
  <si>
    <t>EMP-066</t>
  </si>
  <si>
    <t>EMP-067</t>
  </si>
  <si>
    <t>EMP-068</t>
  </si>
  <si>
    <t>EMP-069</t>
  </si>
  <si>
    <t>EMP-070</t>
  </si>
  <si>
    <t>EMP-071</t>
  </si>
  <si>
    <t>EMP-072</t>
  </si>
  <si>
    <t>EMP-073</t>
  </si>
  <si>
    <t>EMP-074</t>
  </si>
  <si>
    <t>EMP-075</t>
  </si>
  <si>
    <t>EMP-076</t>
  </si>
  <si>
    <t>EMP-077</t>
  </si>
  <si>
    <t>EMP-078</t>
  </si>
  <si>
    <t>EMP-079</t>
  </si>
  <si>
    <t>EMP-080</t>
  </si>
  <si>
    <t>EMP-081</t>
  </si>
  <si>
    <t>EMP-082</t>
  </si>
  <si>
    <t>EMP-083</t>
  </si>
  <si>
    <t>EMP-084</t>
  </si>
  <si>
    <t>EMP-085</t>
  </si>
  <si>
    <t>EMP-086</t>
  </si>
  <si>
    <t>EMP-087</t>
  </si>
  <si>
    <t>EMP-088</t>
  </si>
  <si>
    <t>EMP-089</t>
  </si>
  <si>
    <t>EMP-090</t>
  </si>
  <si>
    <t>EMP-091</t>
  </si>
  <si>
    <t>EMP-092</t>
  </si>
  <si>
    <t>EMP-094</t>
  </si>
  <si>
    <t>EMP-095</t>
  </si>
  <si>
    <t>EMP-096</t>
  </si>
  <si>
    <t>EMP-097</t>
  </si>
  <si>
    <t>EMP-098</t>
  </si>
  <si>
    <t>EMP-099</t>
  </si>
  <si>
    <t>EMP-100</t>
  </si>
  <si>
    <t>EMP-101</t>
  </si>
  <si>
    <t>EMP-102</t>
  </si>
  <si>
    <t>EMP-103</t>
  </si>
  <si>
    <t>EMP-104</t>
  </si>
  <si>
    <t>EMP-105</t>
  </si>
  <si>
    <t>EMP-106</t>
  </si>
  <si>
    <t>EMP-107</t>
  </si>
  <si>
    <t>EMP-108</t>
  </si>
  <si>
    <t>EMP-109</t>
  </si>
  <si>
    <t>EMP-110</t>
  </si>
  <si>
    <t>EMP-111</t>
  </si>
  <si>
    <t>EMP-112</t>
  </si>
  <si>
    <t>EMP-113</t>
  </si>
  <si>
    <t>EMP-114</t>
  </si>
  <si>
    <t>EMP-115</t>
  </si>
  <si>
    <t>EMP-116</t>
  </si>
  <si>
    <t>EMP-117</t>
  </si>
  <si>
    <t>EMP-118</t>
  </si>
  <si>
    <t>EMP-119</t>
  </si>
  <si>
    <t>EMP-120</t>
  </si>
  <si>
    <t>EMP-121</t>
  </si>
  <si>
    <t>EMP-122</t>
  </si>
  <si>
    <t>EMP-123</t>
  </si>
  <si>
    <t>EMP-124</t>
  </si>
  <si>
    <t>EMP-125</t>
  </si>
  <si>
    <t>EMP-126</t>
  </si>
  <si>
    <t>EMP-127</t>
  </si>
  <si>
    <t>EMP-128</t>
  </si>
  <si>
    <t>EMP-129</t>
  </si>
  <si>
    <t>EMP-130</t>
  </si>
  <si>
    <t>EMP-131</t>
  </si>
  <si>
    <t>EMP-132</t>
  </si>
  <si>
    <t>EMP-133</t>
  </si>
  <si>
    <t>EMP-134</t>
  </si>
  <si>
    <t>EMP-135</t>
  </si>
  <si>
    <t>EMP-136</t>
  </si>
  <si>
    <t>EMP-137</t>
  </si>
  <si>
    <t>EMP-138</t>
  </si>
  <si>
    <t>EMP-139</t>
  </si>
  <si>
    <t>EMP-140</t>
  </si>
  <si>
    <t>EMP-141</t>
  </si>
  <si>
    <t>EMP-142</t>
  </si>
  <si>
    <t>EMP-143</t>
  </si>
  <si>
    <t>EMP-144</t>
  </si>
  <si>
    <t>EMP-145</t>
  </si>
  <si>
    <t>EMP-146</t>
  </si>
  <si>
    <t>EMP-147</t>
  </si>
  <si>
    <t>EMP-148</t>
  </si>
  <si>
    <t>EMP-149</t>
  </si>
  <si>
    <t>EMP-150</t>
  </si>
  <si>
    <t>SALES EXECUTIVE</t>
  </si>
  <si>
    <t>Raj Verma</t>
  </si>
  <si>
    <t>Tanuja Kale</t>
  </si>
  <si>
    <t>Arvind Sharma</t>
  </si>
  <si>
    <t>Tahira Qureshi</t>
  </si>
  <si>
    <t>Syed Sohail</t>
  </si>
  <si>
    <t>Anuj Sharma</t>
  </si>
  <si>
    <t>Kapil Sinha</t>
  </si>
  <si>
    <t>Surendra Kumar</t>
  </si>
  <si>
    <t>Sunita Chawla</t>
  </si>
  <si>
    <t>Sunita Mandani</t>
  </si>
  <si>
    <t>Sunil Kumar</t>
  </si>
  <si>
    <t>Sudhiur Kumar</t>
  </si>
  <si>
    <t>Aditya Singh</t>
  </si>
  <si>
    <t>Hiten Kumar</t>
  </si>
  <si>
    <t>Aryan Tyagi</t>
  </si>
  <si>
    <t>Aryan Gupta</t>
  </si>
  <si>
    <t>Ashu Sharma</t>
  </si>
  <si>
    <t>Lakshay Juneja</t>
  </si>
  <si>
    <t>Sakshi Sharma</t>
  </si>
  <si>
    <t>Trisha Sharma</t>
  </si>
  <si>
    <t>Shubhanji Joshi</t>
  </si>
  <si>
    <t>Mohit Verma</t>
  </si>
  <si>
    <t>Abhishek Sharma</t>
  </si>
  <si>
    <t>Rohit Sharma</t>
  </si>
  <si>
    <t>Anuskha Sen</t>
  </si>
  <si>
    <t>Preeti Gupta</t>
  </si>
  <si>
    <t>Sucheta Singh</t>
  </si>
  <si>
    <t>Pranjali Rai</t>
  </si>
  <si>
    <t>Khushi Chaturvedi</t>
  </si>
  <si>
    <t>Ashu Yadav</t>
  </si>
  <si>
    <t>Ayansh Gupta</t>
  </si>
  <si>
    <t>Shreyansh Sinha</t>
  </si>
  <si>
    <t>Vani Bundela</t>
  </si>
  <si>
    <t>Bhawana Singh</t>
  </si>
  <si>
    <t>Abhijeet Sinha</t>
  </si>
  <si>
    <t>Sagar Sharma</t>
  </si>
  <si>
    <t>Krishu Chaturvedi</t>
  </si>
  <si>
    <t>Rinki Kaur</t>
  </si>
  <si>
    <t>Santosh Srivastava</t>
  </si>
  <si>
    <t>Kapil Sahu</t>
  </si>
  <si>
    <t xml:space="preserve">Suraj Prajapati </t>
  </si>
  <si>
    <t>Chandhan Rai</t>
  </si>
  <si>
    <t>Utkarsh Vats</t>
  </si>
  <si>
    <t>Rekha Tiwari</t>
  </si>
  <si>
    <t>Ayush Tiwari</t>
  </si>
  <si>
    <t>Ashish Chaturvedi</t>
  </si>
  <si>
    <t>Sagar Chaturvedi</t>
  </si>
  <si>
    <t>Vishal Sharma</t>
  </si>
  <si>
    <t>Shushma Khandelwal</t>
  </si>
  <si>
    <t>Sneha Verma</t>
  </si>
  <si>
    <t>Soonam Sinha</t>
  </si>
  <si>
    <t>Salman Khan</t>
  </si>
  <si>
    <t xml:space="preserve">Rohit Joshi </t>
  </si>
  <si>
    <t>Arav Sharma</t>
  </si>
  <si>
    <t>Arjun Singh</t>
  </si>
  <si>
    <t>Rahul Yadav</t>
  </si>
  <si>
    <t>Saurabh Miahra</t>
  </si>
  <si>
    <t>Ankit Agarwal</t>
  </si>
  <si>
    <t>Aman Chauchan</t>
  </si>
  <si>
    <t>Deepak Pandey</t>
  </si>
  <si>
    <t>Rohit Thakur</t>
  </si>
  <si>
    <t>Kavya Verma</t>
  </si>
  <si>
    <t>Pooja Yadav</t>
  </si>
  <si>
    <t>Aditi Mishra</t>
  </si>
  <si>
    <t>Siman Kaur</t>
  </si>
  <si>
    <t>Muskhan Shamra</t>
  </si>
  <si>
    <t>Raj Patel</t>
  </si>
  <si>
    <t>Neha Singh</t>
  </si>
  <si>
    <t>Tamya Agarwal</t>
  </si>
  <si>
    <t>Isha Tiwari</t>
  </si>
  <si>
    <t>Dhruv Verma</t>
  </si>
  <si>
    <t>Shakshi Chauhan</t>
  </si>
  <si>
    <t>Yash Gupta</t>
  </si>
  <si>
    <t>Lakshay Sharma</t>
  </si>
  <si>
    <t>Pranav Mishra</t>
  </si>
  <si>
    <t>Dev Verma</t>
  </si>
  <si>
    <t>Akash Singh</t>
  </si>
  <si>
    <t>Nishant Yadav</t>
  </si>
  <si>
    <t>Bhavya Sharma</t>
  </si>
  <si>
    <t>Abhishek Yadav</t>
  </si>
  <si>
    <t>Ujjwal Pandey</t>
  </si>
  <si>
    <t>Shivam Kumar</t>
  </si>
  <si>
    <t>Kartik Sharma</t>
  </si>
  <si>
    <t>Hemant Rai</t>
  </si>
  <si>
    <t>Dinesh Pandey</t>
  </si>
  <si>
    <t>Sanjay Singh</t>
  </si>
  <si>
    <t>Vijay Kumar</t>
  </si>
  <si>
    <t>Vinay Gupta</t>
  </si>
  <si>
    <t xml:space="preserve">Bhushan Gupta </t>
  </si>
  <si>
    <t>Rekha Sharma</t>
  </si>
  <si>
    <t>Diya Mehta</t>
  </si>
  <si>
    <t>Tarrak Mehta</t>
  </si>
  <si>
    <t>Mahi Jain</t>
  </si>
  <si>
    <t>Vansh Jain</t>
  </si>
  <si>
    <t>Palak Yadav</t>
  </si>
  <si>
    <t>Naveen Mishra</t>
  </si>
  <si>
    <t>Payal Mehta</t>
  </si>
  <si>
    <t>Chirag Verma</t>
  </si>
  <si>
    <t>Nitin Yadav</t>
  </si>
  <si>
    <t>Tarun Mehta</t>
  </si>
  <si>
    <t>Shreya Yadav</t>
  </si>
  <si>
    <t>Sunita Singh</t>
  </si>
  <si>
    <t>Alok Verma</t>
  </si>
  <si>
    <t>Manoj Singh</t>
  </si>
  <si>
    <t>Vijay Yadav</t>
  </si>
  <si>
    <t>Pradeep Jain</t>
  </si>
  <si>
    <t>Mukesh Mishra</t>
  </si>
  <si>
    <t>Tejas Gupta</t>
  </si>
  <si>
    <t>Kunal Mishra</t>
  </si>
  <si>
    <t>Akash Verma</t>
  </si>
  <si>
    <t>Ajay Pandey</t>
  </si>
  <si>
    <t>Manoj Tiwari</t>
  </si>
  <si>
    <t>Mahesh Sharma</t>
  </si>
  <si>
    <t>Suraj Sharma</t>
  </si>
  <si>
    <t>Siddhart Verma</t>
  </si>
  <si>
    <t>Ravi Pandey</t>
  </si>
  <si>
    <t>Ajit Kumar</t>
  </si>
  <si>
    <t>Raj Kumar</t>
  </si>
  <si>
    <t>Md.Rehan</t>
  </si>
  <si>
    <t>Sohail Khan</t>
  </si>
  <si>
    <t>Preeti Rai</t>
  </si>
  <si>
    <t>Siddhart Kumar</t>
  </si>
  <si>
    <t>Ayush Srivastava</t>
  </si>
  <si>
    <t>Poonam Verma</t>
  </si>
  <si>
    <t>Khushi Kumari</t>
  </si>
  <si>
    <t>Sagar Mishra</t>
  </si>
  <si>
    <t>Ajit Doval</t>
  </si>
  <si>
    <t>Devansh Rai</t>
  </si>
  <si>
    <t>Kashish Gupta</t>
  </si>
  <si>
    <t>Anshul Gautam</t>
  </si>
  <si>
    <t>Krishna Mishra</t>
  </si>
  <si>
    <t>Suraj Pal</t>
  </si>
  <si>
    <t>Satayam Chaudhary</t>
  </si>
  <si>
    <t>Laila Yadav</t>
  </si>
  <si>
    <t>Arush Bhola</t>
  </si>
  <si>
    <t>Komal Jain</t>
  </si>
  <si>
    <t>Sumit Yadav</t>
  </si>
  <si>
    <t>Suman Verma</t>
  </si>
  <si>
    <t>Geeta Gupta</t>
  </si>
  <si>
    <t>Monika Pandey</t>
  </si>
  <si>
    <t>Sujata Jain</t>
  </si>
  <si>
    <t>Rishi Rawat</t>
  </si>
  <si>
    <t>Radhikha Verma</t>
  </si>
  <si>
    <t>Mehak Guptta</t>
  </si>
  <si>
    <t>Tanvi Verma</t>
  </si>
  <si>
    <t>Deva Chaudhary</t>
  </si>
  <si>
    <t>Gaurav Jain</t>
  </si>
  <si>
    <t>Yash Tyagi</t>
  </si>
  <si>
    <t>Shakshi Verma</t>
  </si>
  <si>
    <t>REGION</t>
  </si>
  <si>
    <t>Mumbai</t>
  </si>
  <si>
    <t xml:space="preserve">Delhi </t>
  </si>
  <si>
    <t>Pune</t>
  </si>
  <si>
    <t>Patna</t>
  </si>
  <si>
    <t>Chennai</t>
  </si>
  <si>
    <t>Nagpur</t>
  </si>
  <si>
    <t xml:space="preserve">Ranchi </t>
  </si>
  <si>
    <t>Surat</t>
  </si>
  <si>
    <t>DAY 1</t>
  </si>
  <si>
    <t>DAY 2</t>
  </si>
  <si>
    <t>DAY 3</t>
  </si>
  <si>
    <t>DAY 4</t>
  </si>
  <si>
    <t>DAY 5</t>
  </si>
  <si>
    <t>TOTAL SALES</t>
  </si>
  <si>
    <t>TARGET</t>
  </si>
  <si>
    <t>TARGET HIT %</t>
  </si>
  <si>
    <t>AWAY FROM TARGET</t>
  </si>
  <si>
    <t>EMP_ID</t>
  </si>
  <si>
    <t>Sum of TARGET HIT %</t>
  </si>
  <si>
    <t>Sales Executive</t>
  </si>
  <si>
    <t xml:space="preserve">Total Sales </t>
  </si>
  <si>
    <t>Sales EXECUTIVE</t>
  </si>
  <si>
    <t>Sum of AWAY FROM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</si>
</sst>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2" tint="-9.9978637043366805E-2"/>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2" fillId="2" borderId="0" xfId="0" applyFont="1" applyFill="1"/>
    <xf numFmtId="0" fontId="2" fillId="3" borderId="0" xfId="0" applyFont="1" applyFill="1"/>
    <xf numFmtId="10" fontId="0" fillId="0" borderId="0" xfId="0" applyNumberFormat="1" applyAlignment="1">
      <alignment horizontal="center"/>
    </xf>
    <xf numFmtId="10" fontId="0" fillId="0" borderId="0" xfId="1" applyNumberFormat="1" applyFont="1" applyAlignment="1">
      <alignment horizontal="center"/>
    </xf>
    <xf numFmtId="0" fontId="0" fillId="0" borderId="0" xfId="0"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2" fillId="4" borderId="0" xfId="0" applyFont="1" applyFill="1"/>
  </cellXfs>
  <cellStyles count="2">
    <cellStyle name="Normal" xfId="0" builtinId="0"/>
    <cellStyle name="Percent" xfId="1" builtinId="5"/>
  </cellStyles>
  <dxfs count="4">
    <dxf>
      <font>
        <b/>
        <i val="0"/>
        <strike val="0"/>
        <condense val="0"/>
        <extend val="0"/>
        <outline val="0"/>
        <shadow val="0"/>
        <u val="none"/>
        <vertAlign val="baseline"/>
        <sz val="11"/>
        <color theme="1"/>
        <name val="Calibri"/>
        <family val="2"/>
        <scheme val="minor"/>
      </font>
      <fill>
        <patternFill patternType="solid">
          <fgColor indexed="64"/>
          <bgColor rgb="FFFFFF00"/>
        </patternFill>
      </fill>
    </dxf>
    <dxf>
      <fill>
        <patternFill>
          <bgColor theme="9" tint="0.39994506668294322"/>
        </patternFill>
      </fill>
    </dxf>
    <dxf>
      <fill>
        <patternFill>
          <bgColor theme="9" tint="0.39994506668294322"/>
        </patternFill>
      </fill>
    </dxf>
    <dxf>
      <fill>
        <patternFill>
          <bgColor theme="2" tint="-0.499984740745262"/>
        </patternFill>
      </fill>
    </dxf>
  </dxfs>
  <tableStyles count="3" defaultTableStyle="TableStyleMedium2" defaultPivotStyle="PivotStyleLight16">
    <tableStyle name="Slicer Style 1" pivot="0" table="0" count="6" xr9:uid="{A88C2B84-FE36-4EE0-9D03-03DEE863AC4A}">
      <tableStyleElement type="wholeTable" dxfId="3"/>
    </tableStyle>
    <tableStyle name="Slicer Style 2" pivot="0" table="0" count="1" xr9:uid="{4F7E931E-E8BA-4507-8B16-D4D13A829466}">
      <tableStyleElement type="wholeTable" dxfId="2"/>
    </tableStyle>
    <tableStyle name="Slicer Style 3" pivot="0" table="0" count="1" xr9:uid="{2A36BAD6-6791-45CA-98E4-3544E3E60658}">
      <tableStyleElement type="wholeTable" dxfId="1"/>
    </tableStyle>
  </tableStyles>
  <colors>
    <mruColors>
      <color rgb="FFF6D6F1"/>
    </mruColors>
  </colors>
  <extLst>
    <ext xmlns:x14="http://schemas.microsoft.com/office/spreadsheetml/2009/9/main" uri="{46F421CA-312F-682f-3DD2-61675219B42D}">
      <x14:dxfs count="5">
        <dxf>
          <fill>
            <patternFill>
              <bgColor theme="9"/>
            </patternFill>
          </fill>
        </dxf>
        <dxf>
          <fill>
            <patternFill>
              <bgColor theme="9" tint="0.39994506668294322"/>
            </patternFill>
          </fill>
        </dxf>
        <dxf>
          <fill>
            <patternFill>
              <bgColor theme="6" tint="0.79998168889431442"/>
            </patternFill>
          </fill>
        </dxf>
        <dxf>
          <fill>
            <patternFill>
              <bgColor theme="8" tint="-0.24994659260841701"/>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[EXCEL DASHBOARD 1.xlsm]Sheet1!PivotTable1</c:name>
    <c:fmtId val="1"/>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Agency FB" panose="020B0503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246097235024744"/>
          <c:y val="0.16059471224633506"/>
          <c:w val="0.79606391760973461"/>
          <c:h val="0.68578922426363376"/>
        </c:manualLayout>
      </c:layout>
      <c:barChart>
        <c:barDir val="bar"/>
        <c:grouping val="clustered"/>
        <c:varyColors val="0"/>
        <c:ser>
          <c:idx val="0"/>
          <c:order val="0"/>
          <c:tx>
            <c:strRef>
              <c:f>Sheet1!$B$3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Agency FB" panose="020B0503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Sheet1!$A$4:$A$8</c:f>
              <c:strCache>
                <c:ptCount val="5"/>
                <c:pt idx="0">
                  <c:v>Poonam Verma</c:v>
                </c:pt>
                <c:pt idx="1">
                  <c:v>Ravi Pandey</c:v>
                </c:pt>
                <c:pt idx="2">
                  <c:v>Sunita Chawla</c:v>
                </c:pt>
                <c:pt idx="3">
                  <c:v>Syed Sohail</c:v>
                </c:pt>
                <c:pt idx="4">
                  <c:v>Trisha Sharma</c:v>
                </c:pt>
              </c:strCache>
            </c:strRef>
          </c:cat>
          <c:val>
            <c:numRef>
              <c:f>Sheet1!$B$4:$B$8</c:f>
              <c:numCache>
                <c:formatCode>General</c:formatCode>
                <c:ptCount val="5"/>
                <c:pt idx="0">
                  <c:v>384</c:v>
                </c:pt>
                <c:pt idx="1">
                  <c:v>406</c:v>
                </c:pt>
                <c:pt idx="2">
                  <c:v>389</c:v>
                </c:pt>
                <c:pt idx="3">
                  <c:v>377</c:v>
                </c:pt>
                <c:pt idx="4">
                  <c:v>372</c:v>
                </c:pt>
              </c:numCache>
            </c:numRef>
          </c:val>
          <c:extLst>
            <c:ext xmlns:c16="http://schemas.microsoft.com/office/drawing/2014/chart" uri="{C3380CC4-5D6E-409C-BE32-E72D297353CC}">
              <c16:uniqueId val="{00000000-B40E-475F-A649-2A34C743E5EE}"/>
            </c:ext>
          </c:extLst>
        </c:ser>
        <c:dLbls>
          <c:showLegendKey val="0"/>
          <c:showVal val="0"/>
          <c:showCatName val="0"/>
          <c:showSerName val="0"/>
          <c:showPercent val="0"/>
          <c:showBubbleSize val="0"/>
        </c:dLbls>
        <c:gapWidth val="115"/>
        <c:overlap val="-20"/>
        <c:axId val="1554506559"/>
        <c:axId val="1554499903"/>
      </c:barChart>
      <c:catAx>
        <c:axId val="155450655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Agency FB" panose="020B0503020202020204" pitchFamily="34" charset="0"/>
                <a:ea typeface="+mn-ea"/>
                <a:cs typeface="+mn-cs"/>
              </a:defRPr>
            </a:pPr>
            <a:endParaRPr lang="en-US"/>
          </a:p>
        </c:txPr>
        <c:crossAx val="1554499903"/>
        <c:crosses val="autoZero"/>
        <c:auto val="1"/>
        <c:lblAlgn val="ctr"/>
        <c:lblOffset val="100"/>
        <c:noMultiLvlLbl val="0"/>
      </c:catAx>
      <c:valAx>
        <c:axId val="1554499903"/>
        <c:scaling>
          <c:orientation val="minMax"/>
        </c:scaling>
        <c:delete val="1"/>
        <c:axPos val="b"/>
        <c:numFmt formatCode="General" sourceLinked="1"/>
        <c:majorTickMark val="none"/>
        <c:minorTickMark val="none"/>
        <c:tickLblPos val="nextTo"/>
        <c:crossAx val="1554506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1.xlsm]Sheet1!PivotTable3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marker>
          <c:symbol val="none"/>
        </c:marker>
        <c:dLbl>
          <c:idx val="0"/>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Agency FB" panose="020B0503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1.9259265198774796E-2"/>
              <c:y val="3.636337910591323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dLbl>
          <c:idx val="0"/>
          <c:layout>
            <c:manualLayout>
              <c:x val="-6.3165856813724381E-3"/>
              <c:y val="-1.4972656719796858E-2"/>
            </c:manualLayout>
          </c:layout>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Agency FB" panose="020B0503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dLbl>
          <c:idx val="0"/>
          <c:layout>
            <c:manualLayout>
              <c:x val="1.0321482217981409E-2"/>
              <c:y val="-3.4667954241568946E-2"/>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dLbl>
          <c:idx val="0"/>
          <c:layout>
            <c:manualLayout>
              <c:x val="1.5579111674177184E-2"/>
              <c:y val="2.1973668385791397E-2"/>
            </c:manualLayout>
          </c:layou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dLbl>
          <c:idx val="0"/>
          <c:layout>
            <c:manualLayout>
              <c:x val="-5.7550341848816447E-3"/>
              <c:y val="-1.8474577470269045E-2"/>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dLbl>
          <c:idx val="0"/>
          <c:layout>
            <c:manualLayout>
              <c:x val="7.2860037098213424E-3"/>
              <c:y val="-1.46716330270037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pivotFmt>
    </c:pivotFmts>
    <c:plotArea>
      <c:layout>
        <c:manualLayout>
          <c:layoutTarget val="inner"/>
          <c:xMode val="edge"/>
          <c:yMode val="edge"/>
          <c:x val="0.16429083075409875"/>
          <c:y val="5.8731455737844079E-2"/>
          <c:w val="0.64672904939835674"/>
          <c:h val="0.85591364758650457"/>
        </c:manualLayout>
      </c:layout>
      <c:doughnutChart>
        <c:varyColors val="1"/>
        <c:ser>
          <c:idx val="0"/>
          <c:order val="0"/>
          <c:tx>
            <c:strRef>
              <c:f>Sheet1!$H$3</c:f>
              <c:strCache>
                <c:ptCount val="1"/>
                <c:pt idx="0">
                  <c:v>Total</c:v>
                </c:pt>
              </c:strCache>
            </c:strRef>
          </c:tx>
          <c:spPr>
            <a:ln>
              <a:solidFill>
                <a:schemeClr val="bg2">
                  <a:lumMod val="50000"/>
                </a:schemeClr>
              </a:solidFill>
            </a:ln>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8964-4165-AEB1-36ADB0FAF63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964-4165-AEB1-36ADB0FAF63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8964-4165-AEB1-36ADB0FAF63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964-4165-AEB1-36ADB0FAF63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8964-4165-AEB1-36ADB0FAF639}"/>
              </c:ext>
            </c:extLst>
          </c:dPt>
          <c:dLbls>
            <c:dLbl>
              <c:idx val="4"/>
              <c:layout>
                <c:manualLayout>
                  <c:x val="-6.3165856813724381E-3"/>
                  <c:y val="-1.49726567197968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964-4165-AEB1-36ADB0FAF639}"/>
                </c:ext>
              </c:extLst>
            </c:dLbl>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Agency FB" panose="020B0503020202020204" pitchFamily="34" charset="0"/>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Sheet1!$G$4:$G$8</c:f>
              <c:strCache>
                <c:ptCount val="5"/>
                <c:pt idx="0">
                  <c:v>Ashish Chaturvedi</c:v>
                </c:pt>
                <c:pt idx="1">
                  <c:v>Ashu Sharma</c:v>
                </c:pt>
                <c:pt idx="2">
                  <c:v>Khushi Kumari</c:v>
                </c:pt>
                <c:pt idx="3">
                  <c:v>Lakshay Sharma</c:v>
                </c:pt>
                <c:pt idx="4">
                  <c:v>Poonam Verma</c:v>
                </c:pt>
              </c:strCache>
            </c:strRef>
          </c:cat>
          <c:val>
            <c:numRef>
              <c:f>Sheet1!$H$4:$H$8</c:f>
              <c:numCache>
                <c:formatCode>0.00%</c:formatCode>
                <c:ptCount val="5"/>
                <c:pt idx="0">
                  <c:v>0.57999999999999996</c:v>
                </c:pt>
                <c:pt idx="1">
                  <c:v>0.59</c:v>
                </c:pt>
                <c:pt idx="2">
                  <c:v>0.66600000000000004</c:v>
                </c:pt>
                <c:pt idx="3">
                  <c:v>0.56799999999999995</c:v>
                </c:pt>
                <c:pt idx="4">
                  <c:v>0.76800000000000002</c:v>
                </c:pt>
              </c:numCache>
            </c:numRef>
          </c:val>
          <c:extLst>
            <c:ext xmlns:c16="http://schemas.microsoft.com/office/drawing/2014/chart" uri="{C3380CC4-5D6E-409C-BE32-E72D297353CC}">
              <c16:uniqueId val="{00000000-8964-4165-AEB1-36ADB0FAF639}"/>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1.xlsm]Sheet1!PivotTable4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lumMod val="8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0.1073533874671916"/>
              <c:y val="-4.5609864804635268E-2"/>
            </c:manualLayout>
          </c:layout>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lumMod val="8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5.8333333333333334E-2"/>
              <c:y val="4.16666666666665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3.2947417589763382E-4"/>
              <c:y val="-1.3791554357592094E-2"/>
            </c:manualLayout>
          </c:layout>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lumMod val="8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5.9133802660260755E-2"/>
              <c:y val="4.6159206514280057E-2"/>
            </c:manualLayout>
          </c:layout>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lumMod val="8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7.749538458116477E-2"/>
              <c:y val="5.0513968772771325E-2"/>
            </c:manualLayout>
          </c:layout>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lumMod val="8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4.9188131144623871E-2"/>
              <c:y val="-4.9827733797426263E-2"/>
            </c:manualLayout>
          </c:layout>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lumMod val="8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6.7090395480225995E-2"/>
              <c:y val="5.39083557951482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8.8276836158192096E-2"/>
              <c:y val="-4.04312668463611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4.2372881355932202E-2"/>
              <c:y val="4.49236298292902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6.709039548022605E-2"/>
              <c:y val="5.39083557951482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8.8276836158192096E-2"/>
              <c:y val="4.49236298292902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7.7683615819209045E-2"/>
              <c:y val="-4.49236298292902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9.8870056497175146E-2"/>
              <c:y val="4.49236298292902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6.7090395480225953E-2"/>
              <c:y val="4.49236298292901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9.5338983050847453E-2"/>
              <c:y val="4.49236298292902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8.1214689265536794E-2"/>
              <c:y val="6.73854447439353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8.4745762711864403E-2"/>
              <c:y val="-4.04312668463611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4.5903954802259887E-2"/>
              <c:y val="4.04312668463611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dLbl>
          <c:idx val="0"/>
          <c:layout>
            <c:manualLayout>
              <c:x val="-7.0621468926553674E-2"/>
              <c:y val="4.94159928122191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dLbl>
          <c:idx val="0"/>
          <c:layout>
            <c:manualLayout>
              <c:x val="-7.0621468926553702E-2"/>
              <c:y val="4.49236298292902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dLbl>
          <c:idx val="0"/>
          <c:layout>
            <c:manualLayout>
              <c:x val="-7.7683615819209045E-2"/>
              <c:y val="5.39083557951482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dLbl>
          <c:idx val="0"/>
          <c:layout>
            <c:manualLayout>
              <c:x val="-0.1059322033898305"/>
              <c:y val="-4.49236298292902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dLbl>
          <c:idx val="0"/>
          <c:layout>
            <c:manualLayout>
              <c:x val="-1.059322033898305E-2"/>
              <c:y val="4.49236298292902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dLbl>
          <c:idx val="0"/>
          <c:layout>
            <c:manualLayout>
              <c:x val="-7.4152542372881353E-2"/>
              <c:y val="-4.49236298292902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dLbl>
          <c:idx val="0"/>
          <c:layout>
            <c:manualLayout>
              <c:x val="-0.10240112994350282"/>
              <c:y val="-4.49236298292902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dLbl>
          <c:idx val="0"/>
          <c:layout>
            <c:manualLayout>
              <c:x val="-3.1779661016949151E-2"/>
              <c:y val="-4.04312668463611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dLbl>
          <c:idx val="0"/>
          <c:layout>
            <c:manualLayout>
              <c:x val="-4.2372881355932202E-2"/>
              <c:y val="-4.49236298292902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dLbl>
          <c:idx val="0"/>
          <c:layout>
            <c:manualLayout>
              <c:x val="-7.0621468926553674E-2"/>
              <c:y val="-4.94159928122192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024389430134795E-2"/>
          <c:y val="4.609482776917035E-2"/>
          <c:w val="0.93888888888888888"/>
          <c:h val="0.79081802274715662"/>
        </c:manualLayout>
      </c:layout>
      <c:lineChart>
        <c:grouping val="standard"/>
        <c:varyColors val="0"/>
        <c:ser>
          <c:idx val="0"/>
          <c:order val="0"/>
          <c:tx>
            <c:strRef>
              <c:f>Sheet1!$K$3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7B66-4307-AE7F-346C557AF7FD}"/>
              </c:ext>
            </c:extLst>
          </c:dPt>
          <c:dPt>
            <c:idx val="1"/>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B66-4307-AE7F-346C557AF7FD}"/>
              </c:ext>
            </c:extLst>
          </c:dPt>
          <c:dPt>
            <c:idx val="2"/>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7B66-4307-AE7F-346C557AF7FD}"/>
              </c:ext>
            </c:extLst>
          </c:dPt>
          <c:dPt>
            <c:idx val="3"/>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B66-4307-AE7F-346C557AF7FD}"/>
              </c:ext>
            </c:extLst>
          </c:dPt>
          <c:dPt>
            <c:idx val="4"/>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7B66-4307-AE7F-346C557AF7FD}"/>
              </c:ext>
            </c:extLst>
          </c:dPt>
          <c:dLbls>
            <c:dLbl>
              <c:idx val="0"/>
              <c:layout>
                <c:manualLayout>
                  <c:x val="-0.1073533874671916"/>
                  <c:y val="-4.56098648046352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B66-4307-AE7F-346C557AF7FD}"/>
                </c:ext>
              </c:extLst>
            </c:dLbl>
            <c:dLbl>
              <c:idx val="1"/>
              <c:layout>
                <c:manualLayout>
                  <c:x val="-3.2947417589763382E-4"/>
                  <c:y val="-1.37915543575920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B66-4307-AE7F-346C557AF7FD}"/>
                </c:ext>
              </c:extLst>
            </c:dLbl>
            <c:dLbl>
              <c:idx val="2"/>
              <c:layout>
                <c:manualLayout>
                  <c:x val="-5.9133802660260755E-2"/>
                  <c:y val="4.61592065142800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B66-4307-AE7F-346C557AF7FD}"/>
                </c:ext>
              </c:extLst>
            </c:dLbl>
            <c:dLbl>
              <c:idx val="3"/>
              <c:layout>
                <c:manualLayout>
                  <c:x val="-7.749538458116477E-2"/>
                  <c:y val="5.05139687727713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B66-4307-AE7F-346C557AF7FD}"/>
                </c:ext>
              </c:extLst>
            </c:dLbl>
            <c:dLbl>
              <c:idx val="4"/>
              <c:layout>
                <c:manualLayout>
                  <c:x val="-4.9188131144623871E-2"/>
                  <c:y val="-4.98277337974262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B66-4307-AE7F-346C557AF7FD}"/>
                </c:ext>
              </c:extLst>
            </c:dLbl>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lumMod val="8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Sheet1!$J$4:$J$8</c:f>
              <c:strCache>
                <c:ptCount val="5"/>
                <c:pt idx="0">
                  <c:v>Deva Chaudhary</c:v>
                </c:pt>
                <c:pt idx="1">
                  <c:v>Rishi Rawat</c:v>
                </c:pt>
                <c:pt idx="2">
                  <c:v>Shakshi Verma</c:v>
                </c:pt>
                <c:pt idx="3">
                  <c:v>Shreya Yadav</c:v>
                </c:pt>
                <c:pt idx="4">
                  <c:v>Yash Tyagi</c:v>
                </c:pt>
              </c:strCache>
            </c:strRef>
          </c:cat>
          <c:val>
            <c:numRef>
              <c:f>Sheet1!$K$4:$K$8</c:f>
              <c:numCache>
                <c:formatCode>0.00%</c:formatCode>
                <c:ptCount val="5"/>
                <c:pt idx="0">
                  <c:v>0.56200000000000006</c:v>
                </c:pt>
                <c:pt idx="1">
                  <c:v>0.57000000000000006</c:v>
                </c:pt>
                <c:pt idx="2">
                  <c:v>0.55000000000000004</c:v>
                </c:pt>
                <c:pt idx="3">
                  <c:v>0.54800000000000004</c:v>
                </c:pt>
                <c:pt idx="4">
                  <c:v>0.56800000000000006</c:v>
                </c:pt>
              </c:numCache>
            </c:numRef>
          </c:val>
          <c:smooth val="0"/>
          <c:extLst>
            <c:ext xmlns:c16="http://schemas.microsoft.com/office/drawing/2014/chart" uri="{C3380CC4-5D6E-409C-BE32-E72D297353CC}">
              <c16:uniqueId val="{00000000-7B66-4307-AE7F-346C557AF7FD}"/>
            </c:ext>
          </c:extLst>
        </c:ser>
        <c:dLbls>
          <c:showLegendKey val="0"/>
          <c:showVal val="0"/>
          <c:showCatName val="0"/>
          <c:showSerName val="0"/>
          <c:showPercent val="0"/>
          <c:showBubbleSize val="0"/>
        </c:dLbls>
        <c:marker val="1"/>
        <c:smooth val="0"/>
        <c:axId val="1554519871"/>
        <c:axId val="1554520287"/>
      </c:lineChart>
      <c:catAx>
        <c:axId val="155451987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1" i="1" u="none" strike="noStrike" kern="1200" baseline="0">
                <a:solidFill>
                  <a:schemeClr val="lt1">
                    <a:lumMod val="85000"/>
                  </a:schemeClr>
                </a:solidFill>
                <a:latin typeface="Agency FB" panose="020B0503020202020204" pitchFamily="34" charset="0"/>
                <a:ea typeface="+mn-ea"/>
                <a:cs typeface="+mn-cs"/>
              </a:defRPr>
            </a:pPr>
            <a:endParaRPr lang="en-US"/>
          </a:p>
        </c:txPr>
        <c:crossAx val="1554520287"/>
        <c:crosses val="autoZero"/>
        <c:auto val="1"/>
        <c:lblAlgn val="ctr"/>
        <c:lblOffset val="100"/>
        <c:noMultiLvlLbl val="0"/>
      </c:catAx>
      <c:valAx>
        <c:axId val="1554520287"/>
        <c:scaling>
          <c:orientation val="minMax"/>
        </c:scaling>
        <c:delete val="1"/>
        <c:axPos val="l"/>
        <c:numFmt formatCode="0.00%" sourceLinked="1"/>
        <c:majorTickMark val="none"/>
        <c:minorTickMark val="none"/>
        <c:tickLblPos val="nextTo"/>
        <c:crossAx val="155451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167640</xdr:rowOff>
    </xdr:from>
    <xdr:to>
      <xdr:col>5</xdr:col>
      <xdr:colOff>68580</xdr:colOff>
      <xdr:row>24</xdr:row>
      <xdr:rowOff>53340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129540</xdr:colOff>
      <xdr:row>8</xdr:row>
      <xdr:rowOff>137160</xdr:rowOff>
    </xdr:from>
    <xdr:to>
      <xdr:col>8</xdr:col>
      <xdr:colOff>76200</xdr:colOff>
      <xdr:row>24</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83820</xdr:colOff>
      <xdr:row>8</xdr:row>
      <xdr:rowOff>137160</xdr:rowOff>
    </xdr:from>
    <xdr:to>
      <xdr:col>12</xdr:col>
      <xdr:colOff>175260</xdr:colOff>
      <xdr:row>24</xdr:row>
      <xdr:rowOff>38100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7620</xdr:colOff>
      <xdr:row>1</xdr:row>
      <xdr:rowOff>22860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2816840" cy="3886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487680</xdr:colOff>
      <xdr:row>1</xdr:row>
      <xdr:rowOff>121920</xdr:rowOff>
    </xdr:from>
    <xdr:to>
      <xdr:col>0</xdr:col>
      <xdr:colOff>1447800</xdr:colOff>
      <xdr:row>1</xdr:row>
      <xdr:rowOff>411480</xdr:rowOff>
    </xdr:to>
    <xdr:sp macro="" textlink="">
      <xdr:nvSpPr>
        <xdr:cNvPr id="8" name="Speech Bubble: Rectangle 7">
          <a:extLst>
            <a:ext uri="{FF2B5EF4-FFF2-40B4-BE49-F238E27FC236}">
              <a16:creationId xmlns:a16="http://schemas.microsoft.com/office/drawing/2014/main" id="{00000000-0008-0000-0000-000008000000}"/>
            </a:ext>
          </a:extLst>
        </xdr:cNvPr>
        <xdr:cNvSpPr/>
      </xdr:nvSpPr>
      <xdr:spPr>
        <a:xfrm>
          <a:off x="487680" y="426720"/>
          <a:ext cx="960120" cy="289560"/>
        </a:xfrm>
        <a:prstGeom prst="wedgeRectCallou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502920</xdr:colOff>
      <xdr:row>1</xdr:row>
      <xdr:rowOff>114300</xdr:rowOff>
    </xdr:from>
    <xdr:to>
      <xdr:col>3</xdr:col>
      <xdr:colOff>1463040</xdr:colOff>
      <xdr:row>1</xdr:row>
      <xdr:rowOff>411480</xdr:rowOff>
    </xdr:to>
    <xdr:sp macro="" textlink="">
      <xdr:nvSpPr>
        <xdr:cNvPr id="10" name="Speech Bubble: Rectangle 9">
          <a:extLst>
            <a:ext uri="{FF2B5EF4-FFF2-40B4-BE49-F238E27FC236}">
              <a16:creationId xmlns:a16="http://schemas.microsoft.com/office/drawing/2014/main" id="{00000000-0008-0000-0000-00000A000000}"/>
            </a:ext>
          </a:extLst>
        </xdr:cNvPr>
        <xdr:cNvSpPr/>
      </xdr:nvSpPr>
      <xdr:spPr>
        <a:xfrm>
          <a:off x="3276600" y="419100"/>
          <a:ext cx="960120" cy="297180"/>
        </a:xfrm>
        <a:prstGeom prst="wedgeRectCallou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579120</xdr:colOff>
      <xdr:row>1</xdr:row>
      <xdr:rowOff>121920</xdr:rowOff>
    </xdr:from>
    <xdr:to>
      <xdr:col>6</xdr:col>
      <xdr:colOff>1539240</xdr:colOff>
      <xdr:row>1</xdr:row>
      <xdr:rowOff>426720</xdr:rowOff>
    </xdr:to>
    <xdr:sp macro="" textlink="">
      <xdr:nvSpPr>
        <xdr:cNvPr id="11" name="Speech Bubble: Rectangle 10">
          <a:extLst>
            <a:ext uri="{FF2B5EF4-FFF2-40B4-BE49-F238E27FC236}">
              <a16:creationId xmlns:a16="http://schemas.microsoft.com/office/drawing/2014/main" id="{00000000-0008-0000-0000-00000B000000}"/>
            </a:ext>
          </a:extLst>
        </xdr:cNvPr>
        <xdr:cNvSpPr/>
      </xdr:nvSpPr>
      <xdr:spPr>
        <a:xfrm>
          <a:off x="6126480" y="426720"/>
          <a:ext cx="960120" cy="304800"/>
        </a:xfrm>
        <a:prstGeom prst="wedgeRectCallou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586740</xdr:colOff>
      <xdr:row>1</xdr:row>
      <xdr:rowOff>114300</xdr:rowOff>
    </xdr:from>
    <xdr:to>
      <xdr:col>9</xdr:col>
      <xdr:colOff>1569720</xdr:colOff>
      <xdr:row>1</xdr:row>
      <xdr:rowOff>419100</xdr:rowOff>
    </xdr:to>
    <xdr:sp macro="" textlink="">
      <xdr:nvSpPr>
        <xdr:cNvPr id="12" name="Speech Bubble: Rectangle 11">
          <a:extLst>
            <a:ext uri="{FF2B5EF4-FFF2-40B4-BE49-F238E27FC236}">
              <a16:creationId xmlns:a16="http://schemas.microsoft.com/office/drawing/2014/main" id="{00000000-0008-0000-0000-00000C000000}"/>
            </a:ext>
          </a:extLst>
        </xdr:cNvPr>
        <xdr:cNvSpPr/>
      </xdr:nvSpPr>
      <xdr:spPr>
        <a:xfrm>
          <a:off x="9928860" y="419100"/>
          <a:ext cx="982980" cy="304800"/>
        </a:xfrm>
        <a:prstGeom prst="wedgeRectCallou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556260</xdr:colOff>
          <xdr:row>1</xdr:row>
          <xdr:rowOff>137160</xdr:rowOff>
        </xdr:from>
        <xdr:to>
          <xdr:col>0</xdr:col>
          <xdr:colOff>1310640</xdr:colOff>
          <xdr:row>1</xdr:row>
          <xdr:rowOff>358140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563880</xdr:colOff>
          <xdr:row>1</xdr:row>
          <xdr:rowOff>144780</xdr:rowOff>
        </xdr:from>
        <xdr:to>
          <xdr:col>3</xdr:col>
          <xdr:colOff>1318260</xdr:colOff>
          <xdr:row>1</xdr:row>
          <xdr:rowOff>365760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655320</xdr:colOff>
          <xdr:row>1</xdr:row>
          <xdr:rowOff>152400</xdr:rowOff>
        </xdr:from>
        <xdr:to>
          <xdr:col>6</xdr:col>
          <xdr:colOff>1386840</xdr:colOff>
          <xdr:row>1</xdr:row>
          <xdr:rowOff>373380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678180</xdr:colOff>
          <xdr:row>1</xdr:row>
          <xdr:rowOff>129540</xdr:rowOff>
        </xdr:from>
        <xdr:to>
          <xdr:col>9</xdr:col>
          <xdr:colOff>1379220</xdr:colOff>
          <xdr:row>1</xdr:row>
          <xdr:rowOff>350520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ush_PC" refreshedDate="46182.030982407407" createdVersion="7" refreshedVersion="7" minRefreshableVersion="3" recordCount="149" xr:uid="{9D328A4B-6942-490A-B81E-5D00CB02D361}">
  <cacheSource type="worksheet">
    <worksheetSource ref="A1:L150" sheet="Raw Data"/>
  </cacheSource>
  <cacheFields count="12">
    <cacheField name="EMP_ID" numFmtId="0">
      <sharedItems/>
    </cacheField>
    <cacheField name="SALES EXECUTIVE" numFmtId="0">
      <sharedItems count="149">
        <s v="Raj Verma"/>
        <s v="Tanuja Kale"/>
        <s v="Arvind Sharma"/>
        <s v="Tahira Qureshi"/>
        <s v="Syed Sohail"/>
        <s v="Anuj Sharma"/>
        <s v="Kapil Sinha"/>
        <s v="Surendra Kumar"/>
        <s v="Sunita Chawla"/>
        <s v="Sunita Mandani"/>
        <s v="Sunil Kumar"/>
        <s v="Sudhiur Kumar"/>
        <s v="Aditya Singh"/>
        <s v="Hiten Kumar"/>
        <s v="Aryan Tyagi"/>
        <s v="Aryan Gupta"/>
        <s v="Ashu Sharma"/>
        <s v="Lakshay Juneja"/>
        <s v="Sakshi Sharma"/>
        <s v="Trisha Sharma"/>
        <s v="Shubhanji Joshi"/>
        <s v="Mohit Verma"/>
        <s v="Abhishek Sharma"/>
        <s v="Rohit Sharma"/>
        <s v="Anuskha Sen"/>
        <s v="Preeti Gupta"/>
        <s v="Sucheta Singh"/>
        <s v="Pranjali Rai"/>
        <s v="Khushi Chaturvedi"/>
        <s v="Ashu Yadav"/>
        <s v="Ayansh Gupta"/>
        <s v="Shreyansh Sinha"/>
        <s v="Vani Bundela"/>
        <s v="Bhawana Singh"/>
        <s v="Abhijeet Sinha"/>
        <s v="Sagar Sharma"/>
        <s v="Krishu Chaturvedi"/>
        <s v="Rinki Kaur"/>
        <s v="Santosh Srivastava"/>
        <s v="Kapil Sahu"/>
        <s v="Suraj Prajapati "/>
        <s v="Chandhan Rai"/>
        <s v="Utkarsh Vats"/>
        <s v="Rekha Tiwari"/>
        <s v="Ayush Tiwari"/>
        <s v="Ashish Chaturvedi"/>
        <s v="Sagar Chaturvedi"/>
        <s v="Vishal Sharma"/>
        <s v="Shushma Khandelwal"/>
        <s v="Sneha Verma"/>
        <s v="Soonam Sinha"/>
        <s v="Salman Khan"/>
        <s v="Rohit Joshi "/>
        <s v="Arav Sharma"/>
        <s v="Arjun Singh"/>
        <s v="Rahul Yadav"/>
        <s v="Saurabh Miahra"/>
        <s v="Ankit Agarwal"/>
        <s v="Aman Chauchan"/>
        <s v="Deepak Pandey"/>
        <s v="Rohit Thakur"/>
        <s v="Kavya Verma"/>
        <s v="Pooja Yadav"/>
        <s v="Aditi Mishra"/>
        <s v="Siman Kaur"/>
        <s v="Muskhan Shamra"/>
        <s v="Raj Patel"/>
        <s v="Neha Singh"/>
        <s v="Tamya Agarwal"/>
        <s v="Isha Tiwari"/>
        <s v="Dhruv Verma"/>
        <s v="Shakshi Chauhan"/>
        <s v="Yash Gupta"/>
        <s v="Lakshay Sharma"/>
        <s v="Pranav Mishra"/>
        <s v="Dev Verma"/>
        <s v="Akash Singh"/>
        <s v="Nishant Yadav"/>
        <s v="Bhavya Sharma"/>
        <s v="Abhishek Yadav"/>
        <s v="Ujjwal Pandey"/>
        <s v="Shivam Kumar"/>
        <s v="Kartik Sharma"/>
        <s v="Hemant Rai"/>
        <s v="Dinesh Pandey"/>
        <s v="Sanjay Singh"/>
        <s v="Vijay Kumar"/>
        <s v="Vinay Gupta"/>
        <s v="Bhushan Gupta "/>
        <s v="Rekha Sharma"/>
        <s v="Diya Mehta"/>
        <s v="Tarrak Mehta"/>
        <s v="Vansh Jain"/>
        <s v="Palak Yadav"/>
        <s v="Naveen Mishra"/>
        <s v="Payal Mehta"/>
        <s v="Chirag Verma"/>
        <s v="Nitin Yadav"/>
        <s v="Tarun Mehta"/>
        <s v="Shreya Yadav"/>
        <s v="Sunita Singh"/>
        <s v="Alok Verma"/>
        <s v="Manoj Singh"/>
        <s v="Vijay Yadav"/>
        <s v="Pradeep Jain"/>
        <s v="Mukesh Mishra"/>
        <s v="Tejas Gupta"/>
        <s v="Kunal Mishra"/>
        <s v="Akash Verma"/>
        <s v="Ajay Pandey"/>
        <s v="Manoj Tiwari"/>
        <s v="Mahesh Sharma"/>
        <s v="Suraj Sharma"/>
        <s v="Siddhart Verma"/>
        <s v="Ravi Pandey"/>
        <s v="Ajit Kumar"/>
        <s v="Raj Kumar"/>
        <s v="Md.Rehan"/>
        <s v="Sohail Khan"/>
        <s v="Preeti Rai"/>
        <s v="Siddhart Kumar"/>
        <s v="Ayush Srivastava"/>
        <s v="Poonam Verma"/>
        <s v="Khushi Kumari"/>
        <s v="Sagar Mishra"/>
        <s v="Ajit Doval"/>
        <s v="Devansh Rai"/>
        <s v="Kashish Gupta"/>
        <s v="Anshul Gautam"/>
        <s v="Krishna Mishra"/>
        <s v="Suraj Pal"/>
        <s v="Satayam Chaudhary"/>
        <s v="Laila Yadav"/>
        <s v="Arush Bhola"/>
        <s v="Komal Jain"/>
        <s v="Sumit Yadav"/>
        <s v="Suman Verma"/>
        <s v="Geeta Gupta"/>
        <s v="Monika Pandey"/>
        <s v="Sujata Jain"/>
        <s v="Rishi Rawat"/>
        <s v="Radhikha Verma"/>
        <s v="Mahi Jain"/>
        <s v="Mehak Guptta"/>
        <s v="Tanvi Verma"/>
        <s v="Deva Chaudhary"/>
        <s v="Gaurav Jain"/>
        <s v="Yash Tyagi"/>
        <s v="Shakshi Verma"/>
      </sharedItems>
    </cacheField>
    <cacheField name="REGION" numFmtId="0">
      <sharedItems count="8">
        <s v="Mumbai"/>
        <s v="Delhi "/>
        <s v="Chennai"/>
        <s v="Pune"/>
        <s v="Patna"/>
        <s v="Nagpur"/>
        <s v="Ranchi "/>
        <s v="Surat"/>
      </sharedItems>
    </cacheField>
    <cacheField name="DAY 1" numFmtId="0">
      <sharedItems containsSemiMixedTypes="0" containsString="0" containsNumber="1" containsInteger="1" minValue="23" maxValue="98"/>
    </cacheField>
    <cacheField name="DAY 2" numFmtId="0">
      <sharedItems containsSemiMixedTypes="0" containsString="0" containsNumber="1" containsInteger="1" minValue="23" maxValue="98"/>
    </cacheField>
    <cacheField name="DAY 3" numFmtId="0">
      <sharedItems containsSemiMixedTypes="0" containsString="0" containsNumber="1" containsInteger="1" minValue="23" maxValue="98"/>
    </cacheField>
    <cacheField name="DAY 4" numFmtId="0">
      <sharedItems containsSemiMixedTypes="0" containsString="0" containsNumber="1" containsInteger="1" minValue="23" maxValue="98"/>
    </cacheField>
    <cacheField name="DAY 5" numFmtId="0">
      <sharedItems containsSemiMixedTypes="0" containsString="0" containsNumber="1" containsInteger="1" minValue="10" maxValue="98"/>
    </cacheField>
    <cacheField name="TOTAL SALES" numFmtId="0">
      <sharedItems containsSemiMixedTypes="0" containsString="0" containsNumber="1" containsInteger="1" minValue="215" maxValue="406"/>
    </cacheField>
    <cacheField name="TARGET" numFmtId="0">
      <sharedItems containsSemiMixedTypes="0" containsString="0" containsNumber="1" containsInteger="1" minValue="500" maxValue="500"/>
    </cacheField>
    <cacheField name="TARGET HIT %" numFmtId="10">
      <sharedItems containsSemiMixedTypes="0" containsString="0" containsNumber="1" minValue="0.43" maxValue="0.81200000000000006"/>
    </cacheField>
    <cacheField name="AWAY FROM TARGET" numFmtId="10">
      <sharedItems containsSemiMixedTypes="0" containsString="0" containsNumber="1" minValue="0.18799999999999994" maxValue="0.57000000000000006"/>
    </cacheField>
  </cacheFields>
  <extLst>
    <ext xmlns:x14="http://schemas.microsoft.com/office/spreadsheetml/2009/9/main" uri="{725AE2AE-9491-48be-B2B4-4EB974FC3084}">
      <x14:pivotCacheDefinition pivotCacheId="17355441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EMP-001"/>
    <x v="0"/>
    <x v="0"/>
    <n v="40"/>
    <n v="60"/>
    <n v="67"/>
    <n v="56"/>
    <n v="89"/>
    <n v="312"/>
    <n v="500"/>
    <n v="0.624"/>
    <n v="0.376"/>
  </r>
  <r>
    <s v="EMP-002"/>
    <x v="1"/>
    <x v="1"/>
    <n v="65"/>
    <n v="35"/>
    <n v="46"/>
    <n v="87"/>
    <n v="78"/>
    <n v="311"/>
    <n v="500"/>
    <n v="0.622"/>
    <n v="0.378"/>
  </r>
  <r>
    <s v="EMP-003"/>
    <x v="2"/>
    <x v="0"/>
    <n v="56"/>
    <n v="57"/>
    <n v="23"/>
    <n v="89"/>
    <n v="41"/>
    <n v="266"/>
    <n v="500"/>
    <n v="0.53200000000000003"/>
    <n v="0.46799999999999997"/>
  </r>
  <r>
    <s v="EMP-004"/>
    <x v="3"/>
    <x v="1"/>
    <n v="43"/>
    <n v="79"/>
    <n v="66"/>
    <n v="78"/>
    <n v="45"/>
    <n v="311"/>
    <n v="500"/>
    <n v="0.622"/>
    <n v="0.378"/>
  </r>
  <r>
    <s v="EMP-005"/>
    <x v="4"/>
    <x v="2"/>
    <n v="76"/>
    <n v="98"/>
    <n v="87"/>
    <n v="41"/>
    <n v="75"/>
    <n v="377"/>
    <n v="500"/>
    <n v="0.754"/>
    <n v="0.246"/>
  </r>
  <r>
    <s v="EMP-006"/>
    <x v="5"/>
    <x v="3"/>
    <n v="46"/>
    <n v="65"/>
    <n v="65"/>
    <n v="45"/>
    <n v="67"/>
    <n v="288"/>
    <n v="500"/>
    <n v="0.57599999999999996"/>
    <n v="0.42400000000000004"/>
  </r>
  <r>
    <s v="EMP-007"/>
    <x v="6"/>
    <x v="4"/>
    <n v="47"/>
    <n v="56"/>
    <n v="78"/>
    <n v="75"/>
    <n v="78"/>
    <n v="334"/>
    <n v="500"/>
    <n v="0.66800000000000004"/>
    <n v="0.33199999999999996"/>
  </r>
  <r>
    <s v="EMP-008"/>
    <x v="7"/>
    <x v="0"/>
    <n v="68"/>
    <n v="87"/>
    <n v="54"/>
    <n v="67"/>
    <n v="46"/>
    <n v="322"/>
    <n v="500"/>
    <n v="0.64400000000000002"/>
    <n v="0.35599999999999998"/>
  </r>
  <r>
    <s v="EMP-009"/>
    <x v="8"/>
    <x v="1"/>
    <n v="67"/>
    <n v="89"/>
    <n v="68"/>
    <n v="78"/>
    <n v="87"/>
    <n v="389"/>
    <n v="500"/>
    <n v="0.77800000000000002"/>
    <n v="0.22199999999999998"/>
  </r>
  <r>
    <s v="EMP-010"/>
    <x v="9"/>
    <x v="1"/>
    <n v="46"/>
    <n v="78"/>
    <n v="42"/>
    <n v="46"/>
    <n v="65"/>
    <n v="277"/>
    <n v="500"/>
    <n v="0.55400000000000005"/>
    <n v="0.44599999999999995"/>
  </r>
  <r>
    <s v="EMP-011"/>
    <x v="10"/>
    <x v="0"/>
    <n v="23"/>
    <n v="41"/>
    <n v="45"/>
    <n v="87"/>
    <n v="76"/>
    <n v="272"/>
    <n v="500"/>
    <n v="0.54400000000000004"/>
    <n v="0.45599999999999996"/>
  </r>
  <r>
    <s v="EMP-012"/>
    <x v="11"/>
    <x v="1"/>
    <n v="66"/>
    <n v="45"/>
    <n v="67"/>
    <n v="65"/>
    <n v="76"/>
    <n v="319"/>
    <n v="500"/>
    <n v="0.63800000000000001"/>
    <n v="0.36199999999999999"/>
  </r>
  <r>
    <s v="EMP-013"/>
    <x v="12"/>
    <x v="3"/>
    <n v="87"/>
    <n v="70"/>
    <n v="78"/>
    <n v="76"/>
    <n v="56"/>
    <n v="367"/>
    <n v="500"/>
    <n v="0.73399999999999999"/>
    <n v="0.26600000000000001"/>
  </r>
  <r>
    <s v="EMP-014"/>
    <x v="13"/>
    <x v="0"/>
    <n v="65"/>
    <n v="67"/>
    <n v="80"/>
    <n v="76"/>
    <n v="54"/>
    <n v="342"/>
    <n v="500"/>
    <n v="0.68400000000000005"/>
    <n v="0.31599999999999995"/>
  </r>
  <r>
    <s v="EMP-015"/>
    <x v="14"/>
    <x v="4"/>
    <n v="78"/>
    <n v="78"/>
    <n v="57"/>
    <n v="56"/>
    <n v="56"/>
    <n v="325"/>
    <n v="500"/>
    <n v="0.65"/>
    <n v="0.35"/>
  </r>
  <r>
    <s v="EMP-016"/>
    <x v="15"/>
    <x v="2"/>
    <n v="54"/>
    <n v="46"/>
    <n v="78"/>
    <n v="54"/>
    <n v="54"/>
    <n v="286"/>
    <n v="500"/>
    <n v="0.57199999999999995"/>
    <n v="0.42800000000000005"/>
  </r>
  <r>
    <s v="EMP-017"/>
    <x v="16"/>
    <x v="5"/>
    <n v="68"/>
    <n v="87"/>
    <n v="41"/>
    <n v="56"/>
    <n v="43"/>
    <n v="295"/>
    <n v="500"/>
    <n v="0.59"/>
    <n v="0.41000000000000003"/>
  </r>
  <r>
    <s v="EMP-018"/>
    <x v="17"/>
    <x v="6"/>
    <n v="42"/>
    <n v="65"/>
    <n v="45"/>
    <n v="54"/>
    <n v="76"/>
    <n v="282"/>
    <n v="500"/>
    <n v="0.56399999999999995"/>
    <n v="0.43600000000000005"/>
  </r>
  <r>
    <s v="EMP-019"/>
    <x v="18"/>
    <x v="7"/>
    <n v="45"/>
    <n v="76"/>
    <n v="75"/>
    <n v="43"/>
    <n v="45"/>
    <n v="284"/>
    <n v="500"/>
    <n v="0.56799999999999995"/>
    <n v="0.43200000000000005"/>
  </r>
  <r>
    <s v="EMP-020"/>
    <x v="19"/>
    <x v="0"/>
    <n v="67"/>
    <n v="76"/>
    <n v="67"/>
    <n v="76"/>
    <n v="86"/>
    <n v="372"/>
    <n v="500"/>
    <n v="0.74399999999999999"/>
    <n v="0.25600000000000001"/>
  </r>
  <r>
    <s v="EMP-021"/>
    <x v="20"/>
    <x v="1"/>
    <n v="78"/>
    <n v="56"/>
    <n v="78"/>
    <n v="45"/>
    <n v="56"/>
    <n v="313"/>
    <n v="500"/>
    <n v="0.626"/>
    <n v="0.374"/>
  </r>
  <r>
    <s v="EMP-022"/>
    <x v="21"/>
    <x v="0"/>
    <n v="80"/>
    <n v="54"/>
    <n v="46"/>
    <n v="86"/>
    <n v="67"/>
    <n v="333"/>
    <n v="500"/>
    <n v="0.66600000000000004"/>
    <n v="0.33399999999999996"/>
  </r>
  <r>
    <s v="EMP-023"/>
    <x v="22"/>
    <x v="1"/>
    <n v="57"/>
    <n v="56"/>
    <n v="87"/>
    <n v="56"/>
    <n v="45"/>
    <n v="301"/>
    <n v="500"/>
    <n v="0.60199999999999998"/>
    <n v="0.39800000000000002"/>
  </r>
  <r>
    <s v="EMP-024"/>
    <x v="23"/>
    <x v="2"/>
    <n v="54"/>
    <n v="54"/>
    <n v="65"/>
    <n v="67"/>
    <n v="54"/>
    <n v="294"/>
    <n v="500"/>
    <n v="0.58799999999999997"/>
    <n v="0.41200000000000003"/>
  </r>
  <r>
    <s v="EMP-025"/>
    <x v="24"/>
    <x v="3"/>
    <n v="60"/>
    <n v="43"/>
    <n v="76"/>
    <n v="45"/>
    <n v="76"/>
    <n v="300"/>
    <n v="500"/>
    <n v="0.6"/>
    <n v="0.4"/>
  </r>
  <r>
    <s v="EMP-026"/>
    <x v="25"/>
    <x v="4"/>
    <n v="35"/>
    <n v="76"/>
    <n v="76"/>
    <n v="54"/>
    <n v="46"/>
    <n v="287"/>
    <n v="500"/>
    <n v="0.57399999999999995"/>
    <n v="0.42600000000000005"/>
  </r>
  <r>
    <s v="EMP-027"/>
    <x v="26"/>
    <x v="0"/>
    <n v="57"/>
    <n v="45"/>
    <n v="56"/>
    <n v="76"/>
    <n v="35"/>
    <n v="269"/>
    <n v="500"/>
    <n v="0.53800000000000003"/>
    <n v="0.46199999999999997"/>
  </r>
  <r>
    <s v="EMP-028"/>
    <x v="27"/>
    <x v="4"/>
    <n v="79"/>
    <n v="86"/>
    <n v="54"/>
    <n v="46"/>
    <n v="34"/>
    <n v="299"/>
    <n v="500"/>
    <n v="0.59799999999999998"/>
    <n v="0.40200000000000002"/>
  </r>
  <r>
    <s v="EMP-029"/>
    <x v="28"/>
    <x v="1"/>
    <n v="98"/>
    <n v="56"/>
    <n v="56"/>
    <n v="35"/>
    <n v="67"/>
    <n v="312"/>
    <n v="500"/>
    <n v="0.624"/>
    <n v="0.376"/>
  </r>
  <r>
    <s v="EMP-030"/>
    <x v="29"/>
    <x v="0"/>
    <n v="65"/>
    <n v="67"/>
    <n v="54"/>
    <n v="34"/>
    <n v="46"/>
    <n v="266"/>
    <n v="500"/>
    <n v="0.53200000000000003"/>
    <n v="0.46799999999999997"/>
  </r>
  <r>
    <s v="EMP-031"/>
    <x v="30"/>
    <x v="1"/>
    <n v="56"/>
    <n v="45"/>
    <n v="43"/>
    <n v="78"/>
    <n v="23"/>
    <n v="245"/>
    <n v="500"/>
    <n v="0.49"/>
    <n v="0.51"/>
  </r>
  <r>
    <s v="EMP-032"/>
    <x v="31"/>
    <x v="7"/>
    <n v="87"/>
    <n v="54"/>
    <n v="76"/>
    <n v="56"/>
    <n v="66"/>
    <n v="339"/>
    <n v="500"/>
    <n v="0.67800000000000005"/>
    <n v="0.32199999999999995"/>
  </r>
  <r>
    <s v="EMP-033"/>
    <x v="32"/>
    <x v="2"/>
    <n v="89"/>
    <n v="76"/>
    <n v="45"/>
    <n v="45"/>
    <n v="87"/>
    <n v="342"/>
    <n v="500"/>
    <n v="0.68400000000000005"/>
    <n v="0.31599999999999995"/>
  </r>
  <r>
    <s v="EMP-034"/>
    <x v="33"/>
    <x v="6"/>
    <n v="78"/>
    <n v="46"/>
    <n v="86"/>
    <n v="57"/>
    <n v="65"/>
    <n v="332"/>
    <n v="500"/>
    <n v="0.66400000000000003"/>
    <n v="0.33599999999999997"/>
  </r>
  <r>
    <s v="EMP-035"/>
    <x v="34"/>
    <x v="2"/>
    <n v="41"/>
    <n v="35"/>
    <n v="56"/>
    <n v="45"/>
    <n v="78"/>
    <n v="255"/>
    <n v="500"/>
    <n v="0.51"/>
    <n v="0.49"/>
  </r>
  <r>
    <s v="EMP-036"/>
    <x v="35"/>
    <x v="5"/>
    <n v="45"/>
    <n v="34"/>
    <n v="67"/>
    <n v="53"/>
    <n v="54"/>
    <n v="253"/>
    <n v="500"/>
    <n v="0.50600000000000001"/>
    <n v="0.49399999999999999"/>
  </r>
  <r>
    <s v="EMP-037"/>
    <x v="36"/>
    <x v="6"/>
    <n v="75"/>
    <n v="78"/>
    <n v="35"/>
    <n v="34"/>
    <n v="68"/>
    <n v="290"/>
    <n v="500"/>
    <n v="0.57999999999999996"/>
    <n v="0.42000000000000004"/>
  </r>
  <r>
    <s v="EMP-038"/>
    <x v="37"/>
    <x v="7"/>
    <n v="67"/>
    <n v="56"/>
    <n v="43"/>
    <n v="46"/>
    <n v="42"/>
    <n v="254"/>
    <n v="500"/>
    <n v="0.50800000000000001"/>
    <n v="0.49199999999999999"/>
  </r>
  <r>
    <s v="EMP-039"/>
    <x v="38"/>
    <x v="5"/>
    <n v="78"/>
    <n v="45"/>
    <n v="43"/>
    <n v="46"/>
    <n v="45"/>
    <n v="257"/>
    <n v="500"/>
    <n v="0.51400000000000001"/>
    <n v="0.48599999999999999"/>
  </r>
  <r>
    <s v="EMP-040"/>
    <x v="39"/>
    <x v="1"/>
    <n v="46"/>
    <n v="57"/>
    <n v="45"/>
    <n v="76"/>
    <n v="67"/>
    <n v="291"/>
    <n v="500"/>
    <n v="0.58199999999999996"/>
    <n v="0.41800000000000004"/>
  </r>
  <r>
    <s v="EMP-041"/>
    <x v="40"/>
    <x v="1"/>
    <n v="87"/>
    <n v="45"/>
    <n v="67"/>
    <n v="35"/>
    <n v="78"/>
    <n v="312"/>
    <n v="500"/>
    <n v="0.624"/>
    <n v="0.376"/>
  </r>
  <r>
    <s v="EMP-042"/>
    <x v="41"/>
    <x v="0"/>
    <n v="65"/>
    <n v="53"/>
    <n v="78"/>
    <n v="75"/>
    <n v="80"/>
    <n v="351"/>
    <n v="500"/>
    <n v="0.70199999999999996"/>
    <n v="0.29800000000000004"/>
  </r>
  <r>
    <s v="EMP-043"/>
    <x v="42"/>
    <x v="5"/>
    <n v="76"/>
    <n v="34"/>
    <n v="80"/>
    <n v="35"/>
    <n v="57"/>
    <n v="282"/>
    <n v="500"/>
    <n v="0.56399999999999995"/>
    <n v="0.43600000000000005"/>
  </r>
  <r>
    <s v="EMP-044"/>
    <x v="43"/>
    <x v="1"/>
    <n v="76"/>
    <n v="46"/>
    <n v="57"/>
    <n v="67"/>
    <n v="54"/>
    <n v="300"/>
    <n v="500"/>
    <n v="0.6"/>
    <n v="0.4"/>
  </r>
  <r>
    <s v="EMP-045"/>
    <x v="44"/>
    <x v="0"/>
    <n v="56"/>
    <n v="46"/>
    <n v="54"/>
    <n v="55"/>
    <n v="60"/>
    <n v="271"/>
    <n v="500"/>
    <n v="0.54200000000000004"/>
    <n v="0.45799999999999996"/>
  </r>
  <r>
    <s v="EMP-046"/>
    <x v="45"/>
    <x v="5"/>
    <n v="54"/>
    <n v="76"/>
    <n v="60"/>
    <n v="65"/>
    <n v="35"/>
    <n v="290"/>
    <n v="500"/>
    <n v="0.57999999999999996"/>
    <n v="0.42000000000000004"/>
  </r>
  <r>
    <s v="EMP-047"/>
    <x v="46"/>
    <x v="1"/>
    <n v="56"/>
    <n v="35"/>
    <n v="35"/>
    <n v="56"/>
    <n v="57"/>
    <n v="239"/>
    <n v="500"/>
    <n v="0.47799999999999998"/>
    <n v="0.52200000000000002"/>
  </r>
  <r>
    <s v="EMP-048"/>
    <x v="47"/>
    <x v="1"/>
    <n v="54"/>
    <n v="75"/>
    <n v="57"/>
    <n v="43"/>
    <n v="79"/>
    <n v="308"/>
    <n v="500"/>
    <n v="0.61599999999999999"/>
    <n v="0.38400000000000001"/>
  </r>
  <r>
    <s v="EMP-049"/>
    <x v="48"/>
    <x v="3"/>
    <n v="43"/>
    <n v="35"/>
    <n v="79"/>
    <n v="76"/>
    <n v="98"/>
    <n v="331"/>
    <n v="500"/>
    <n v="0.66200000000000003"/>
    <n v="0.33799999999999997"/>
  </r>
  <r>
    <s v="EMP-050"/>
    <x v="49"/>
    <x v="3"/>
    <n v="76"/>
    <n v="67"/>
    <n v="98"/>
    <n v="46"/>
    <n v="65"/>
    <n v="352"/>
    <n v="500"/>
    <n v="0.70399999999999996"/>
    <n v="0.29600000000000004"/>
  </r>
  <r>
    <s v="EMP-051"/>
    <x v="50"/>
    <x v="0"/>
    <n v="45"/>
    <n v="55"/>
    <n v="65"/>
    <n v="47"/>
    <n v="56"/>
    <n v="268"/>
    <n v="500"/>
    <n v="0.53600000000000003"/>
    <n v="0.46399999999999997"/>
  </r>
  <r>
    <s v="EMP-052"/>
    <x v="51"/>
    <x v="6"/>
    <n v="86"/>
    <n v="65"/>
    <n v="56"/>
    <n v="68"/>
    <n v="87"/>
    <n v="362"/>
    <n v="500"/>
    <n v="0.72399999999999998"/>
    <n v="0.27600000000000002"/>
  </r>
  <r>
    <s v="EMP-053"/>
    <x v="52"/>
    <x v="6"/>
    <n v="56"/>
    <n v="56"/>
    <n v="87"/>
    <n v="67"/>
    <n v="89"/>
    <n v="355"/>
    <n v="500"/>
    <n v="0.71"/>
    <n v="0.29000000000000004"/>
  </r>
  <r>
    <s v="EMP-054"/>
    <x v="53"/>
    <x v="1"/>
    <n v="67"/>
    <n v="43"/>
    <n v="89"/>
    <n v="46"/>
    <n v="78"/>
    <n v="323"/>
    <n v="500"/>
    <n v="0.64600000000000002"/>
    <n v="0.35399999999999998"/>
  </r>
  <r>
    <s v="EMP-055"/>
    <x v="54"/>
    <x v="6"/>
    <n v="45"/>
    <n v="76"/>
    <n v="78"/>
    <n v="23"/>
    <n v="41"/>
    <n v="263"/>
    <n v="500"/>
    <n v="0.52600000000000002"/>
    <n v="0.47399999999999998"/>
  </r>
  <r>
    <s v="EMP-056"/>
    <x v="55"/>
    <x v="7"/>
    <n v="54"/>
    <n v="46"/>
    <n v="41"/>
    <n v="66"/>
    <n v="45"/>
    <n v="252"/>
    <n v="500"/>
    <n v="0.504"/>
    <n v="0.496"/>
  </r>
  <r>
    <s v="EMP-057"/>
    <x v="56"/>
    <x v="7"/>
    <n v="76"/>
    <n v="47"/>
    <n v="45"/>
    <n v="87"/>
    <n v="55"/>
    <n v="310"/>
    <n v="500"/>
    <n v="0.62"/>
    <n v="0.38"/>
  </r>
  <r>
    <s v="EMP-058"/>
    <x v="57"/>
    <x v="0"/>
    <n v="46"/>
    <n v="68"/>
    <n v="75"/>
    <n v="65"/>
    <n v="65"/>
    <n v="319"/>
    <n v="500"/>
    <n v="0.63800000000000001"/>
    <n v="0.36199999999999999"/>
  </r>
  <r>
    <s v="EMP-059"/>
    <x v="58"/>
    <x v="6"/>
    <n v="35"/>
    <n v="67"/>
    <n v="67"/>
    <n v="78"/>
    <n v="56"/>
    <n v="303"/>
    <n v="500"/>
    <n v="0.60599999999999998"/>
    <n v="0.39400000000000002"/>
  </r>
  <r>
    <s v="EMP-060"/>
    <x v="59"/>
    <x v="1"/>
    <n v="34"/>
    <n v="46"/>
    <n v="78"/>
    <n v="54"/>
    <n v="43"/>
    <n v="255"/>
    <n v="500"/>
    <n v="0.51"/>
    <n v="0.49"/>
  </r>
  <r>
    <s v="EMP-061"/>
    <x v="60"/>
    <x v="0"/>
    <n v="78"/>
    <n v="23"/>
    <n v="46"/>
    <n v="68"/>
    <n v="76"/>
    <n v="291"/>
    <n v="500"/>
    <n v="0.58199999999999996"/>
    <n v="0.41800000000000004"/>
  </r>
  <r>
    <s v="EMP-062"/>
    <x v="61"/>
    <x v="3"/>
    <n v="56"/>
    <n v="66"/>
    <n v="87"/>
    <n v="42"/>
    <n v="46"/>
    <n v="297"/>
    <n v="500"/>
    <n v="0.59399999999999997"/>
    <n v="0.40600000000000003"/>
  </r>
  <r>
    <s v="EMP-063"/>
    <x v="62"/>
    <x v="7"/>
    <n v="45"/>
    <n v="87"/>
    <n v="65"/>
    <n v="45"/>
    <n v="47"/>
    <n v="289"/>
    <n v="500"/>
    <n v="0.57799999999999996"/>
    <n v="0.42200000000000004"/>
  </r>
  <r>
    <s v="EMP-064"/>
    <x v="63"/>
    <x v="3"/>
    <n v="57"/>
    <n v="65"/>
    <n v="76"/>
    <n v="67"/>
    <n v="68"/>
    <n v="333"/>
    <n v="500"/>
    <n v="0.66600000000000004"/>
    <n v="0.33399999999999996"/>
  </r>
  <r>
    <s v="EMP-065"/>
    <x v="64"/>
    <x v="6"/>
    <n v="45"/>
    <n v="78"/>
    <n v="76"/>
    <n v="78"/>
    <n v="67"/>
    <n v="344"/>
    <n v="500"/>
    <n v="0.68799999999999994"/>
    <n v="0.31200000000000006"/>
  </r>
  <r>
    <s v="EMP-066"/>
    <x v="65"/>
    <x v="0"/>
    <n v="53"/>
    <n v="54"/>
    <n v="56"/>
    <n v="80"/>
    <n v="46"/>
    <n v="289"/>
    <n v="500"/>
    <n v="0.57799999999999996"/>
    <n v="0.42200000000000004"/>
  </r>
  <r>
    <s v="EMP-067"/>
    <x v="66"/>
    <x v="3"/>
    <n v="34"/>
    <n v="68"/>
    <n v="54"/>
    <n v="57"/>
    <n v="23"/>
    <n v="236"/>
    <n v="500"/>
    <n v="0.47199999999999998"/>
    <n v="0.52800000000000002"/>
  </r>
  <r>
    <s v="EMP-068"/>
    <x v="67"/>
    <x v="7"/>
    <n v="46"/>
    <n v="42"/>
    <n v="56"/>
    <n v="54"/>
    <n v="66"/>
    <n v="264"/>
    <n v="500"/>
    <n v="0.52800000000000002"/>
    <n v="0.47199999999999998"/>
  </r>
  <r>
    <s v="EMP-069"/>
    <x v="68"/>
    <x v="7"/>
    <n v="46"/>
    <n v="45"/>
    <n v="54"/>
    <n v="60"/>
    <n v="87"/>
    <n v="292"/>
    <n v="500"/>
    <n v="0.58399999999999996"/>
    <n v="0.41600000000000004"/>
  </r>
  <r>
    <s v="EMP-070"/>
    <x v="69"/>
    <x v="7"/>
    <n v="76"/>
    <n v="67"/>
    <n v="43"/>
    <n v="35"/>
    <n v="65"/>
    <n v="286"/>
    <n v="500"/>
    <n v="0.57199999999999995"/>
    <n v="0.42800000000000005"/>
  </r>
  <r>
    <s v="EMP-071"/>
    <x v="70"/>
    <x v="1"/>
    <n v="35"/>
    <n v="78"/>
    <n v="76"/>
    <n v="57"/>
    <n v="78"/>
    <n v="324"/>
    <n v="500"/>
    <n v="0.64800000000000002"/>
    <n v="0.35199999999999998"/>
  </r>
  <r>
    <s v="EMP-072"/>
    <x v="71"/>
    <x v="1"/>
    <n v="75"/>
    <n v="80"/>
    <n v="45"/>
    <n v="79"/>
    <n v="54"/>
    <n v="333"/>
    <n v="500"/>
    <n v="0.66600000000000004"/>
    <n v="0.33399999999999996"/>
  </r>
  <r>
    <s v="EMP-073"/>
    <x v="72"/>
    <x v="6"/>
    <n v="35"/>
    <n v="57"/>
    <n v="86"/>
    <n v="98"/>
    <n v="68"/>
    <n v="344"/>
    <n v="500"/>
    <n v="0.68799999999999994"/>
    <n v="0.31200000000000006"/>
  </r>
  <r>
    <s v="EMP-074"/>
    <x v="73"/>
    <x v="5"/>
    <n v="67"/>
    <n v="54"/>
    <n v="56"/>
    <n v="65"/>
    <n v="42"/>
    <n v="284"/>
    <n v="500"/>
    <n v="0.56799999999999995"/>
    <n v="0.43200000000000005"/>
  </r>
  <r>
    <s v="EMP-075"/>
    <x v="74"/>
    <x v="5"/>
    <n v="55"/>
    <n v="60"/>
    <n v="67"/>
    <n v="56"/>
    <n v="45"/>
    <n v="283"/>
    <n v="500"/>
    <n v="0.56599999999999995"/>
    <n v="0.43400000000000005"/>
  </r>
  <r>
    <s v="EMP-076"/>
    <x v="75"/>
    <x v="3"/>
    <n v="65"/>
    <n v="35"/>
    <n v="45"/>
    <n v="87"/>
    <n v="67"/>
    <n v="299"/>
    <n v="500"/>
    <n v="0.59799999999999998"/>
    <n v="0.40200000000000002"/>
  </r>
  <r>
    <s v="EMP-077"/>
    <x v="76"/>
    <x v="0"/>
    <n v="56"/>
    <n v="57"/>
    <n v="54"/>
    <n v="89"/>
    <n v="78"/>
    <n v="334"/>
    <n v="500"/>
    <n v="0.66800000000000004"/>
    <n v="0.33199999999999996"/>
  </r>
  <r>
    <s v="EMP-078"/>
    <x v="77"/>
    <x v="3"/>
    <n v="43"/>
    <n v="79"/>
    <n v="76"/>
    <n v="78"/>
    <n v="80"/>
    <n v="356"/>
    <n v="500"/>
    <n v="0.71199999999999997"/>
    <n v="0.28800000000000003"/>
  </r>
  <r>
    <s v="EMP-079"/>
    <x v="78"/>
    <x v="3"/>
    <n v="76"/>
    <n v="98"/>
    <n v="46"/>
    <n v="41"/>
    <n v="57"/>
    <n v="318"/>
    <n v="500"/>
    <n v="0.63600000000000001"/>
    <n v="0.36399999999999999"/>
  </r>
  <r>
    <s v="EMP-080"/>
    <x v="79"/>
    <x v="4"/>
    <n v="46"/>
    <n v="65"/>
    <n v="35"/>
    <n v="45"/>
    <n v="54"/>
    <n v="245"/>
    <n v="500"/>
    <n v="0.49"/>
    <n v="0.51"/>
  </r>
  <r>
    <s v="EMP-081"/>
    <x v="80"/>
    <x v="0"/>
    <n v="47"/>
    <n v="56"/>
    <n v="34"/>
    <n v="75"/>
    <n v="46"/>
    <n v="258"/>
    <n v="500"/>
    <n v="0.51600000000000001"/>
    <n v="0.48399999999999999"/>
  </r>
  <r>
    <s v="EMP-082"/>
    <x v="81"/>
    <x v="1"/>
    <n v="68"/>
    <n v="87"/>
    <n v="78"/>
    <n v="67"/>
    <n v="47"/>
    <n v="347"/>
    <n v="500"/>
    <n v="0.69399999999999995"/>
    <n v="0.30600000000000005"/>
  </r>
  <r>
    <s v="EMP-083"/>
    <x v="82"/>
    <x v="3"/>
    <n v="67"/>
    <n v="89"/>
    <n v="56"/>
    <n v="78"/>
    <n v="68"/>
    <n v="358"/>
    <n v="500"/>
    <n v="0.71599999999999997"/>
    <n v="0.28400000000000003"/>
  </r>
  <r>
    <s v="EMP-084"/>
    <x v="83"/>
    <x v="7"/>
    <n v="46"/>
    <n v="78"/>
    <n v="45"/>
    <n v="46"/>
    <n v="67"/>
    <n v="282"/>
    <n v="500"/>
    <n v="0.56399999999999995"/>
    <n v="0.43600000000000005"/>
  </r>
  <r>
    <s v="EMP-085"/>
    <x v="84"/>
    <x v="7"/>
    <n v="23"/>
    <n v="41"/>
    <n v="57"/>
    <n v="87"/>
    <n v="46"/>
    <n v="254"/>
    <n v="500"/>
    <n v="0.50800000000000001"/>
    <n v="0.49199999999999999"/>
  </r>
  <r>
    <s v="EMP-086"/>
    <x v="85"/>
    <x v="0"/>
    <n v="66"/>
    <n v="45"/>
    <n v="45"/>
    <n v="65"/>
    <n v="23"/>
    <n v="244"/>
    <n v="500"/>
    <n v="0.48799999999999999"/>
    <n v="0.51200000000000001"/>
  </r>
  <r>
    <s v="EMP-087"/>
    <x v="86"/>
    <x v="7"/>
    <n v="87"/>
    <n v="75"/>
    <n v="53"/>
    <n v="76"/>
    <n v="66"/>
    <n v="357"/>
    <n v="500"/>
    <n v="0.71399999999999997"/>
    <n v="0.28600000000000003"/>
  </r>
  <r>
    <s v="EMP-088"/>
    <x v="87"/>
    <x v="3"/>
    <n v="65"/>
    <n v="67"/>
    <n v="34"/>
    <n v="76"/>
    <n v="87"/>
    <n v="329"/>
    <n v="500"/>
    <n v="0.65800000000000003"/>
    <n v="0.34199999999999997"/>
  </r>
  <r>
    <s v="EMP-089"/>
    <x v="88"/>
    <x v="1"/>
    <n v="78"/>
    <n v="78"/>
    <n v="46"/>
    <n v="56"/>
    <n v="65"/>
    <n v="323"/>
    <n v="500"/>
    <n v="0.64600000000000002"/>
    <n v="0.35399999999999998"/>
  </r>
  <r>
    <s v="EMP-090"/>
    <x v="89"/>
    <x v="1"/>
    <n v="54"/>
    <n v="46"/>
    <n v="46"/>
    <n v="54"/>
    <n v="78"/>
    <n v="278"/>
    <n v="500"/>
    <n v="0.55600000000000005"/>
    <n v="0.44399999999999995"/>
  </r>
  <r>
    <s v="EMP-091"/>
    <x v="90"/>
    <x v="3"/>
    <n v="68"/>
    <n v="87"/>
    <n v="76"/>
    <n v="56"/>
    <n v="54"/>
    <n v="341"/>
    <n v="500"/>
    <n v="0.68200000000000005"/>
    <n v="0.31799999999999995"/>
  </r>
  <r>
    <s v="EMP-092"/>
    <x v="91"/>
    <x v="7"/>
    <n v="42"/>
    <n v="65"/>
    <n v="35"/>
    <n v="54"/>
    <n v="68"/>
    <n v="264"/>
    <n v="500"/>
    <n v="0.52800000000000002"/>
    <n v="0.47199999999999998"/>
  </r>
  <r>
    <s v="EMP-094"/>
    <x v="92"/>
    <x v="0"/>
    <n v="67"/>
    <n v="76"/>
    <n v="35"/>
    <n v="76"/>
    <n v="45"/>
    <n v="299"/>
    <n v="500"/>
    <n v="0.59799999999999998"/>
    <n v="0.40200000000000002"/>
  </r>
  <r>
    <s v="EMP-095"/>
    <x v="93"/>
    <x v="7"/>
    <n v="78"/>
    <n v="56"/>
    <n v="67"/>
    <n v="45"/>
    <n v="67"/>
    <n v="313"/>
    <n v="500"/>
    <n v="0.626"/>
    <n v="0.374"/>
  </r>
  <r>
    <s v="EMP-096"/>
    <x v="94"/>
    <x v="7"/>
    <n v="80"/>
    <n v="54"/>
    <n v="55"/>
    <n v="86"/>
    <n v="78"/>
    <n v="353"/>
    <n v="500"/>
    <n v="0.70599999999999996"/>
    <n v="0.29400000000000004"/>
  </r>
  <r>
    <s v="EMP-097"/>
    <x v="95"/>
    <x v="0"/>
    <n v="57"/>
    <n v="56"/>
    <n v="65"/>
    <n v="56"/>
    <n v="80"/>
    <n v="314"/>
    <n v="500"/>
    <n v="0.628"/>
    <n v="0.372"/>
  </r>
  <r>
    <s v="EMP-098"/>
    <x v="96"/>
    <x v="1"/>
    <n v="54"/>
    <n v="54"/>
    <n v="56"/>
    <n v="55"/>
    <n v="57"/>
    <n v="276"/>
    <n v="500"/>
    <n v="0.55200000000000005"/>
    <n v="0.44799999999999995"/>
  </r>
  <r>
    <s v="EMP-099"/>
    <x v="97"/>
    <x v="3"/>
    <n v="60"/>
    <n v="43"/>
    <n v="43"/>
    <n v="65"/>
    <n v="54"/>
    <n v="265"/>
    <n v="500"/>
    <n v="0.53"/>
    <n v="0.47"/>
  </r>
  <r>
    <s v="EMP-100"/>
    <x v="98"/>
    <x v="7"/>
    <n v="35"/>
    <n v="76"/>
    <n v="76"/>
    <n v="56"/>
    <n v="60"/>
    <n v="303"/>
    <n v="500"/>
    <n v="0.60599999999999998"/>
    <n v="0.39400000000000002"/>
  </r>
  <r>
    <s v="EMP-101"/>
    <x v="99"/>
    <x v="6"/>
    <n v="57"/>
    <n v="45"/>
    <n v="46"/>
    <n v="43"/>
    <n v="35"/>
    <n v="226"/>
    <n v="500"/>
    <n v="0.45200000000000001"/>
    <n v="0.54800000000000004"/>
  </r>
  <r>
    <s v="EMP-102"/>
    <x v="100"/>
    <x v="1"/>
    <n v="79"/>
    <n v="86"/>
    <n v="47"/>
    <n v="76"/>
    <n v="57"/>
    <n v="345"/>
    <n v="500"/>
    <n v="0.69"/>
    <n v="0.31000000000000005"/>
  </r>
  <r>
    <s v="EMP-103"/>
    <x v="101"/>
    <x v="2"/>
    <n v="98"/>
    <n v="56"/>
    <n v="68"/>
    <n v="46"/>
    <n v="79"/>
    <n v="347"/>
    <n v="500"/>
    <n v="0.69399999999999995"/>
    <n v="0.30600000000000005"/>
  </r>
  <r>
    <s v="EMP-104"/>
    <x v="102"/>
    <x v="2"/>
    <n v="65"/>
    <n v="55"/>
    <n v="67"/>
    <n v="47"/>
    <n v="98"/>
    <n v="332"/>
    <n v="500"/>
    <n v="0.66400000000000003"/>
    <n v="0.33599999999999997"/>
  </r>
  <r>
    <s v="EMP-105"/>
    <x v="103"/>
    <x v="0"/>
    <n v="56"/>
    <n v="65"/>
    <n v="46"/>
    <n v="68"/>
    <n v="65"/>
    <n v="300"/>
    <n v="500"/>
    <n v="0.6"/>
    <n v="0.4"/>
  </r>
  <r>
    <s v="EMP-106"/>
    <x v="104"/>
    <x v="1"/>
    <n v="87"/>
    <n v="56"/>
    <n v="23"/>
    <n v="67"/>
    <n v="56"/>
    <n v="289"/>
    <n v="500"/>
    <n v="0.57799999999999996"/>
    <n v="0.42200000000000004"/>
  </r>
  <r>
    <s v="EMP-107"/>
    <x v="105"/>
    <x v="1"/>
    <n v="89"/>
    <n v="43"/>
    <n v="66"/>
    <n v="46"/>
    <n v="87"/>
    <n v="331"/>
    <n v="500"/>
    <n v="0.66200000000000003"/>
    <n v="0.33799999999999997"/>
  </r>
  <r>
    <s v="EMP-108"/>
    <x v="106"/>
    <x v="2"/>
    <n v="78"/>
    <n v="76"/>
    <n v="87"/>
    <n v="23"/>
    <n v="89"/>
    <n v="353"/>
    <n v="500"/>
    <n v="0.70599999999999996"/>
    <n v="0.29400000000000004"/>
  </r>
  <r>
    <s v="EMP-109"/>
    <x v="107"/>
    <x v="1"/>
    <n v="41"/>
    <n v="46"/>
    <n v="65"/>
    <n v="89"/>
    <n v="78"/>
    <n v="319"/>
    <n v="500"/>
    <n v="0.63800000000000001"/>
    <n v="0.36199999999999999"/>
  </r>
  <r>
    <s v="EMP-110"/>
    <x v="108"/>
    <x v="1"/>
    <n v="45"/>
    <n v="47"/>
    <n v="78"/>
    <n v="57"/>
    <n v="41"/>
    <n v="268"/>
    <n v="500"/>
    <n v="0.53600000000000003"/>
    <n v="0.46399999999999997"/>
  </r>
  <r>
    <s v="EMP-111"/>
    <x v="109"/>
    <x v="1"/>
    <n v="75"/>
    <n v="68"/>
    <n v="54"/>
    <n v="68"/>
    <n v="45"/>
    <n v="310"/>
    <n v="500"/>
    <n v="0.62"/>
    <n v="0.38"/>
  </r>
  <r>
    <s v="EMP-112"/>
    <x v="110"/>
    <x v="0"/>
    <n v="67"/>
    <n v="67"/>
    <n v="68"/>
    <n v="89"/>
    <n v="75"/>
    <n v="366"/>
    <n v="500"/>
    <n v="0.73199999999999998"/>
    <n v="0.26800000000000002"/>
  </r>
  <r>
    <s v="EMP-113"/>
    <x v="111"/>
    <x v="3"/>
    <n v="78"/>
    <n v="46"/>
    <n v="42"/>
    <n v="56"/>
    <n v="67"/>
    <n v="289"/>
    <n v="500"/>
    <n v="0.57799999999999996"/>
    <n v="0.42200000000000004"/>
  </r>
  <r>
    <s v="EMP-114"/>
    <x v="112"/>
    <x v="6"/>
    <n v="46"/>
    <n v="23"/>
    <n v="45"/>
    <n v="98"/>
    <n v="78"/>
    <n v="290"/>
    <n v="500"/>
    <n v="0.57999999999999996"/>
    <n v="0.42000000000000004"/>
  </r>
  <r>
    <s v="EMP-115"/>
    <x v="113"/>
    <x v="6"/>
    <n v="87"/>
    <n v="66"/>
    <n v="67"/>
    <n v="68"/>
    <n v="46"/>
    <n v="334"/>
    <n v="500"/>
    <n v="0.66800000000000004"/>
    <n v="0.33199999999999996"/>
  </r>
  <r>
    <s v="EMP-116"/>
    <x v="114"/>
    <x v="1"/>
    <n v="65"/>
    <n v="87"/>
    <n v="78"/>
    <n v="89"/>
    <n v="87"/>
    <n v="406"/>
    <n v="500"/>
    <n v="0.81200000000000006"/>
    <n v="0.18799999999999994"/>
  </r>
  <r>
    <s v="EMP-117"/>
    <x v="115"/>
    <x v="3"/>
    <n v="76"/>
    <n v="65"/>
    <n v="80"/>
    <n v="45"/>
    <n v="65"/>
    <n v="331"/>
    <n v="500"/>
    <n v="0.66200000000000003"/>
    <n v="0.33799999999999997"/>
  </r>
  <r>
    <s v="EMP-118"/>
    <x v="116"/>
    <x v="7"/>
    <n v="76"/>
    <n v="78"/>
    <n v="57"/>
    <n v="67"/>
    <n v="76"/>
    <n v="354"/>
    <n v="500"/>
    <n v="0.70799999999999996"/>
    <n v="0.29200000000000004"/>
  </r>
  <r>
    <s v="EMP-119"/>
    <x v="117"/>
    <x v="6"/>
    <n v="56"/>
    <n v="54"/>
    <n v="54"/>
    <n v="79"/>
    <n v="76"/>
    <n v="319"/>
    <n v="500"/>
    <n v="0.63800000000000001"/>
    <n v="0.36199999999999999"/>
  </r>
  <r>
    <s v="EMP-120"/>
    <x v="118"/>
    <x v="3"/>
    <n v="54"/>
    <n v="68"/>
    <n v="60"/>
    <n v="69"/>
    <n v="56"/>
    <n v="307"/>
    <n v="500"/>
    <n v="0.61399999999999999"/>
    <n v="0.38600000000000001"/>
  </r>
  <r>
    <s v="EMP-121"/>
    <x v="119"/>
    <x v="7"/>
    <n v="56"/>
    <n v="42"/>
    <n v="35"/>
    <n v="84"/>
    <n v="54"/>
    <n v="271"/>
    <n v="500"/>
    <n v="0.54200000000000004"/>
    <n v="0.45799999999999996"/>
  </r>
  <r>
    <s v="EMP-122"/>
    <x v="120"/>
    <x v="3"/>
    <n v="54"/>
    <n v="45"/>
    <n v="57"/>
    <n v="78"/>
    <n v="56"/>
    <n v="290"/>
    <n v="500"/>
    <n v="0.57999999999999996"/>
    <n v="0.42000000000000004"/>
  </r>
  <r>
    <s v="EMP-123"/>
    <x v="121"/>
    <x v="6"/>
    <n v="43"/>
    <n v="67"/>
    <n v="79"/>
    <n v="28"/>
    <n v="54"/>
    <n v="271"/>
    <n v="500"/>
    <n v="0.54200000000000004"/>
    <n v="0.45799999999999996"/>
  </r>
  <r>
    <s v="EMP-124"/>
    <x v="122"/>
    <x v="5"/>
    <n v="76"/>
    <n v="78"/>
    <n v="98"/>
    <n v="89"/>
    <n v="43"/>
    <n v="384"/>
    <n v="500"/>
    <n v="0.76800000000000002"/>
    <n v="0.23199999999999998"/>
  </r>
  <r>
    <s v="EMP-125"/>
    <x v="123"/>
    <x v="5"/>
    <n v="45"/>
    <n v="80"/>
    <n v="65"/>
    <n v="67"/>
    <n v="76"/>
    <n v="333"/>
    <n v="500"/>
    <n v="0.66600000000000004"/>
    <n v="0.33399999999999996"/>
  </r>
  <r>
    <s v="EMP-126"/>
    <x v="124"/>
    <x v="0"/>
    <n v="86"/>
    <n v="57"/>
    <n v="56"/>
    <n v="45"/>
    <n v="45"/>
    <n v="289"/>
    <n v="500"/>
    <n v="0.57799999999999996"/>
    <n v="0.42200000000000004"/>
  </r>
  <r>
    <s v="EMP-127"/>
    <x v="125"/>
    <x v="0"/>
    <n v="56"/>
    <n v="78"/>
    <n v="87"/>
    <n v="54"/>
    <n v="47"/>
    <n v="322"/>
    <n v="500"/>
    <n v="0.64400000000000002"/>
    <n v="0.35599999999999998"/>
  </r>
  <r>
    <s v="EMP-128"/>
    <x v="126"/>
    <x v="1"/>
    <n v="67"/>
    <n v="41"/>
    <n v="89"/>
    <n v="76"/>
    <n v="79"/>
    <n v="352"/>
    <n v="500"/>
    <n v="0.70399999999999996"/>
    <n v="0.29600000000000004"/>
  </r>
  <r>
    <s v="EMP-129"/>
    <x v="127"/>
    <x v="3"/>
    <n v="45"/>
    <n v="45"/>
    <n v="78"/>
    <n v="46"/>
    <n v="87"/>
    <n v="301"/>
    <n v="500"/>
    <n v="0.60199999999999998"/>
    <n v="0.39800000000000002"/>
  </r>
  <r>
    <s v="EMP-130"/>
    <x v="128"/>
    <x v="7"/>
    <n v="54"/>
    <n v="75"/>
    <n v="41"/>
    <n v="35"/>
    <n v="75"/>
    <n v="280"/>
    <n v="500"/>
    <n v="0.56000000000000005"/>
    <n v="0.43999999999999995"/>
  </r>
  <r>
    <s v="EMP-131"/>
    <x v="129"/>
    <x v="7"/>
    <n v="76"/>
    <n v="67"/>
    <n v="45"/>
    <n v="34"/>
    <n v="78"/>
    <n v="300"/>
    <n v="500"/>
    <n v="0.6"/>
    <n v="0.4"/>
  </r>
  <r>
    <s v="EMP-132"/>
    <x v="130"/>
    <x v="3"/>
    <n v="46"/>
    <n v="78"/>
    <n v="75"/>
    <n v="78"/>
    <n v="45"/>
    <n v="322"/>
    <n v="500"/>
    <n v="0.64400000000000002"/>
    <n v="0.35599999999999998"/>
  </r>
  <r>
    <s v="EMP-133"/>
    <x v="131"/>
    <x v="7"/>
    <n v="35"/>
    <n v="46"/>
    <n v="67"/>
    <n v="56"/>
    <n v="76"/>
    <n v="280"/>
    <n v="500"/>
    <n v="0.56000000000000005"/>
    <n v="0.43999999999999995"/>
  </r>
  <r>
    <s v="EMP-134"/>
    <x v="132"/>
    <x v="3"/>
    <n v="34"/>
    <n v="87"/>
    <n v="78"/>
    <n v="45"/>
    <n v="58"/>
    <n v="302"/>
    <n v="500"/>
    <n v="0.60399999999999998"/>
    <n v="0.39600000000000002"/>
  </r>
  <r>
    <s v="EMP-135"/>
    <x v="133"/>
    <x v="3"/>
    <n v="78"/>
    <n v="65"/>
    <n v="46"/>
    <n v="57"/>
    <n v="47"/>
    <n v="293"/>
    <n v="500"/>
    <n v="0.58599999999999997"/>
    <n v="0.41400000000000003"/>
  </r>
  <r>
    <s v="EMP-136"/>
    <x v="134"/>
    <x v="7"/>
    <n v="56"/>
    <n v="76"/>
    <n v="87"/>
    <n v="45"/>
    <n v="74"/>
    <n v="338"/>
    <n v="500"/>
    <n v="0.67600000000000005"/>
    <n v="0.32399999999999995"/>
  </r>
  <r>
    <s v="EMP-137"/>
    <x v="135"/>
    <x v="1"/>
    <n v="45"/>
    <n v="76"/>
    <n v="65"/>
    <n v="53"/>
    <n v="78"/>
    <n v="317"/>
    <n v="500"/>
    <n v="0.63400000000000001"/>
    <n v="0.36599999999999999"/>
  </r>
  <r>
    <s v="EMP-138"/>
    <x v="136"/>
    <x v="3"/>
    <n v="57"/>
    <n v="56"/>
    <n v="76"/>
    <n v="34"/>
    <n v="98"/>
    <n v="321"/>
    <n v="500"/>
    <n v="0.64200000000000002"/>
    <n v="0.35799999999999998"/>
  </r>
  <r>
    <s v="EMP-139"/>
    <x v="137"/>
    <x v="7"/>
    <n v="45"/>
    <n v="54"/>
    <n v="76"/>
    <n v="46"/>
    <n v="34"/>
    <n v="255"/>
    <n v="500"/>
    <n v="0.51"/>
    <n v="0.49"/>
  </r>
  <r>
    <s v="EMP-140"/>
    <x v="138"/>
    <x v="0"/>
    <n v="53"/>
    <n v="56"/>
    <n v="56"/>
    <n v="46"/>
    <n v="56"/>
    <n v="267"/>
    <n v="500"/>
    <n v="0.53400000000000003"/>
    <n v="0.46599999999999997"/>
  </r>
  <r>
    <s v="EMP-141"/>
    <x v="139"/>
    <x v="0"/>
    <n v="34"/>
    <n v="54"/>
    <n v="54"/>
    <n v="76"/>
    <n v="25"/>
    <n v="243"/>
    <n v="500"/>
    <n v="0.48599999999999999"/>
    <n v="0.51400000000000001"/>
  </r>
  <r>
    <s v="EMP-142"/>
    <x v="140"/>
    <x v="3"/>
    <n v="46"/>
    <n v="43"/>
    <n v="56"/>
    <n v="35"/>
    <n v="35"/>
    <n v="215"/>
    <n v="500"/>
    <n v="0.43"/>
    <n v="0.57000000000000006"/>
  </r>
  <r>
    <s v="EMP-143"/>
    <x v="141"/>
    <x v="3"/>
    <n v="46"/>
    <n v="76"/>
    <n v="54"/>
    <n v="75"/>
    <n v="48"/>
    <n v="299"/>
    <n v="500"/>
    <n v="0.59799999999999998"/>
    <n v="0.40200000000000002"/>
  </r>
  <r>
    <s v="EMP-144"/>
    <x v="142"/>
    <x v="1"/>
    <n v="76"/>
    <n v="45"/>
    <n v="43"/>
    <n v="35"/>
    <n v="79"/>
    <n v="278"/>
    <n v="500"/>
    <n v="0.55600000000000005"/>
    <n v="0.44399999999999995"/>
  </r>
  <r>
    <s v="EMP-145"/>
    <x v="143"/>
    <x v="3"/>
    <n v="35"/>
    <n v="86"/>
    <n v="76"/>
    <n v="67"/>
    <n v="70"/>
    <n v="334"/>
    <n v="500"/>
    <n v="0.66800000000000004"/>
    <n v="0.33199999999999996"/>
  </r>
  <r>
    <s v="EMP-146"/>
    <x v="144"/>
    <x v="7"/>
    <n v="75"/>
    <n v="56"/>
    <n v="45"/>
    <n v="55"/>
    <n v="60"/>
    <n v="291"/>
    <n v="500"/>
    <n v="0.58199999999999996"/>
    <n v="0.41800000000000004"/>
  </r>
  <r>
    <s v="EMP-147"/>
    <x v="145"/>
    <x v="7"/>
    <n v="35"/>
    <n v="67"/>
    <n v="23"/>
    <n v="65"/>
    <n v="29"/>
    <n v="219"/>
    <n v="500"/>
    <n v="0.438"/>
    <n v="0.56200000000000006"/>
  </r>
  <r>
    <s v="EMP-148"/>
    <x v="146"/>
    <x v="3"/>
    <n v="67"/>
    <n v="35"/>
    <n v="43"/>
    <n v="56"/>
    <n v="80"/>
    <n v="281"/>
    <n v="500"/>
    <n v="0.56200000000000006"/>
    <n v="0.43799999999999994"/>
  </r>
  <r>
    <s v="EMP-149"/>
    <x v="147"/>
    <x v="6"/>
    <n v="87"/>
    <n v="43"/>
    <n v="23"/>
    <n v="43"/>
    <n v="20"/>
    <n v="216"/>
    <n v="500"/>
    <n v="0.432"/>
    <n v="0.56800000000000006"/>
  </r>
  <r>
    <s v="EMP-150"/>
    <x v="148"/>
    <x v="6"/>
    <n v="67"/>
    <n v="43"/>
    <n v="29"/>
    <n v="76"/>
    <n v="10"/>
    <n v="225"/>
    <n v="500"/>
    <n v="0.45"/>
    <n v="0.550000000000000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E8BDC1-B9CA-4E2F-A2FE-BA0BCA0E31F2}"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 rowHeaderCaption="Sales EXECUTIVE">
  <location ref="J3:K8" firstHeaderRow="1" firstDataRow="1" firstDataCol="1"/>
  <pivotFields count="12">
    <pivotField showAll="0"/>
    <pivotField axis="axisRow" showAll="0" measureFilter="1">
      <items count="150">
        <item x="34"/>
        <item x="22"/>
        <item x="79"/>
        <item x="63"/>
        <item x="12"/>
        <item x="109"/>
        <item x="125"/>
        <item x="115"/>
        <item x="76"/>
        <item x="108"/>
        <item x="101"/>
        <item x="58"/>
        <item x="57"/>
        <item x="128"/>
        <item x="5"/>
        <item x="24"/>
        <item x="53"/>
        <item x="54"/>
        <item x="133"/>
        <item x="2"/>
        <item x="15"/>
        <item x="14"/>
        <item x="45"/>
        <item x="16"/>
        <item x="29"/>
        <item x="30"/>
        <item x="121"/>
        <item x="44"/>
        <item x="78"/>
        <item x="33"/>
        <item x="88"/>
        <item x="41"/>
        <item x="96"/>
        <item x="59"/>
        <item x="75"/>
        <item x="145"/>
        <item x="126"/>
        <item x="70"/>
        <item x="84"/>
        <item x="90"/>
        <item x="146"/>
        <item x="137"/>
        <item x="83"/>
        <item x="13"/>
        <item x="69"/>
        <item x="39"/>
        <item x="6"/>
        <item x="82"/>
        <item x="127"/>
        <item x="61"/>
        <item x="28"/>
        <item x="123"/>
        <item x="134"/>
        <item x="129"/>
        <item x="36"/>
        <item x="107"/>
        <item x="132"/>
        <item x="17"/>
        <item x="73"/>
        <item x="111"/>
        <item x="142"/>
        <item x="102"/>
        <item x="110"/>
        <item x="117"/>
        <item x="143"/>
        <item x="21"/>
        <item x="138"/>
        <item x="105"/>
        <item x="65"/>
        <item x="94"/>
        <item x="67"/>
        <item x="77"/>
        <item x="97"/>
        <item x="93"/>
        <item x="95"/>
        <item x="62"/>
        <item x="122"/>
        <item x="104"/>
        <item x="74"/>
        <item x="27"/>
        <item x="25"/>
        <item x="119"/>
        <item x="141"/>
        <item x="55"/>
        <item x="116"/>
        <item x="66"/>
        <item x="0"/>
        <item x="114"/>
        <item x="89"/>
        <item x="43"/>
        <item x="37"/>
        <item x="140"/>
        <item x="52"/>
        <item x="23"/>
        <item x="60"/>
        <item x="46"/>
        <item x="124"/>
        <item x="35"/>
        <item x="18"/>
        <item x="51"/>
        <item x="85"/>
        <item x="38"/>
        <item x="131"/>
        <item x="56"/>
        <item x="71"/>
        <item x="148"/>
        <item x="81"/>
        <item x="99"/>
        <item x="31"/>
        <item x="20"/>
        <item x="48"/>
        <item x="120"/>
        <item x="113"/>
        <item x="64"/>
        <item x="49"/>
        <item x="118"/>
        <item x="50"/>
        <item x="26"/>
        <item x="11"/>
        <item x="139"/>
        <item x="136"/>
        <item x="135"/>
        <item x="10"/>
        <item x="8"/>
        <item x="9"/>
        <item x="100"/>
        <item x="130"/>
        <item x="40"/>
        <item x="112"/>
        <item x="7"/>
        <item x="4"/>
        <item x="3"/>
        <item x="68"/>
        <item x="1"/>
        <item x="144"/>
        <item x="91"/>
        <item x="98"/>
        <item x="106"/>
        <item x="19"/>
        <item x="80"/>
        <item x="42"/>
        <item x="32"/>
        <item x="92"/>
        <item x="86"/>
        <item x="103"/>
        <item x="87"/>
        <item x="47"/>
        <item x="72"/>
        <item x="147"/>
        <item t="default"/>
      </items>
    </pivotField>
    <pivotField showAll="0">
      <items count="9">
        <item h="1" x="2"/>
        <item h="1" x="1"/>
        <item x="0"/>
        <item h="1" x="5"/>
        <item h="1" x="4"/>
        <item h="1" x="3"/>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5"/>
    </i>
    <i>
      <x v="91"/>
    </i>
    <i>
      <x v="105"/>
    </i>
    <i>
      <x v="107"/>
    </i>
    <i>
      <x v="148"/>
    </i>
  </rowItems>
  <colItems count="1">
    <i/>
  </colItems>
  <dataFields count="1">
    <dataField name="Sum of AWAY FROM TARGET" fld="11" baseField="1" baseItem="0" numFmtId="10"/>
  </dataFields>
  <chartFormats count="2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5"/>
          </reference>
        </references>
      </pivotArea>
    </chartFormat>
    <chartFormat chart="0" format="2">
      <pivotArea type="data" outline="0" fieldPosition="0">
        <references count="2">
          <reference field="4294967294" count="1" selected="0">
            <x v="0"/>
          </reference>
          <reference field="1" count="1" selected="0">
            <x v="85"/>
          </reference>
        </references>
      </pivotArea>
    </chartFormat>
    <chartFormat chart="0" format="3">
      <pivotArea type="data" outline="0" fieldPosition="0">
        <references count="2">
          <reference field="4294967294" count="1" selected="0">
            <x v="0"/>
          </reference>
          <reference field="1" count="1" selected="0">
            <x v="91"/>
          </reference>
        </references>
      </pivotArea>
    </chartFormat>
    <chartFormat chart="0" format="4">
      <pivotArea type="data" outline="0" fieldPosition="0">
        <references count="2">
          <reference field="4294967294" count="1" selected="0">
            <x v="0"/>
          </reference>
          <reference field="1" count="1" selected="0">
            <x v="105"/>
          </reference>
        </references>
      </pivotArea>
    </chartFormat>
    <chartFormat chart="0" format="5">
      <pivotArea type="data" outline="0" fieldPosition="0">
        <references count="2">
          <reference field="4294967294" count="1" selected="0">
            <x v="0"/>
          </reference>
          <reference field="1" count="1" selected="0">
            <x v="107"/>
          </reference>
        </references>
      </pivotArea>
    </chartFormat>
    <chartFormat chart="0" format="6">
      <pivotArea type="data" outline="0" fieldPosition="0">
        <references count="2">
          <reference field="4294967294" count="1" selected="0">
            <x v="0"/>
          </reference>
          <reference field="1" count="1" selected="0">
            <x v="14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97"/>
          </reference>
        </references>
      </pivotArea>
    </chartFormat>
    <chartFormat chart="0" format="9">
      <pivotArea type="data" outline="0" fieldPosition="0">
        <references count="2">
          <reference field="4294967294" count="1" selected="0">
            <x v="0"/>
          </reference>
          <reference field="1" count="1" selected="0">
            <x v="79"/>
          </reference>
        </references>
      </pivotArea>
    </chartFormat>
    <chartFormat chart="0" format="10">
      <pivotArea type="data" outline="0" fieldPosition="0">
        <references count="2">
          <reference field="4294967294" count="1" selected="0">
            <x v="0"/>
          </reference>
          <reference field="1" count="1" selected="0">
            <x v="46"/>
          </reference>
        </references>
      </pivotArea>
    </chartFormat>
    <chartFormat chart="0" format="11">
      <pivotArea type="data" outline="0" fieldPosition="0">
        <references count="2">
          <reference field="4294967294" count="1" selected="0">
            <x v="0"/>
          </reference>
          <reference field="1" count="1" selected="0">
            <x v="21"/>
          </reference>
        </references>
      </pivotArea>
    </chartFormat>
    <chartFormat chart="0" format="12">
      <pivotArea type="data" outline="0" fieldPosition="0">
        <references count="2">
          <reference field="4294967294" count="1" selected="0">
            <x v="0"/>
          </reference>
          <reference field="1" count="1" selected="0">
            <x v="2"/>
          </reference>
        </references>
      </pivotArea>
    </chartFormat>
    <chartFormat chart="0" format="13">
      <pivotArea type="data" outline="0" fieldPosition="0">
        <references count="2">
          <reference field="4294967294" count="1" selected="0">
            <x v="0"/>
          </reference>
          <reference field="1" count="1" selected="0">
            <x v="17"/>
          </reference>
        </references>
      </pivotArea>
    </chartFormat>
    <chartFormat chart="0" format="14">
      <pivotArea type="data" outline="0" fieldPosition="0">
        <references count="2">
          <reference field="4294967294" count="1" selected="0">
            <x v="0"/>
          </reference>
          <reference field="1" count="1" selected="0">
            <x v="26"/>
          </reference>
        </references>
      </pivotArea>
    </chartFormat>
    <chartFormat chart="0" format="15">
      <pivotArea type="data" outline="0" fieldPosition="0">
        <references count="2">
          <reference field="4294967294" count="1" selected="0">
            <x v="0"/>
          </reference>
          <reference field="1" count="1" selected="0">
            <x v="38"/>
          </reference>
        </references>
      </pivotArea>
    </chartFormat>
    <chartFormat chart="0" format="16">
      <pivotArea type="data" outline="0" fieldPosition="0">
        <references count="2">
          <reference field="4294967294" count="1" selected="0">
            <x v="0"/>
          </reference>
          <reference field="1" count="1" selected="0">
            <x v="41"/>
          </reference>
        </references>
      </pivotArea>
    </chartFormat>
    <chartFormat chart="0" format="17">
      <pivotArea type="data" outline="0" fieldPosition="0">
        <references count="2">
          <reference field="4294967294" count="1" selected="0">
            <x v="0"/>
          </reference>
          <reference field="1" count="1" selected="0">
            <x v="83"/>
          </reference>
        </references>
      </pivotArea>
    </chartFormat>
    <chartFormat chart="0" format="18">
      <pivotArea type="data" outline="0" fieldPosition="0">
        <references count="2">
          <reference field="4294967294" count="1" selected="0">
            <x v="0"/>
          </reference>
          <reference field="1" count="1" selected="0">
            <x v="90"/>
          </reference>
        </references>
      </pivotArea>
    </chartFormat>
    <chartFormat chart="0" format="19">
      <pivotArea type="data" outline="0" fieldPosition="0">
        <references count="2">
          <reference field="4294967294" count="1" selected="0">
            <x v="0"/>
          </reference>
          <reference field="1" count="1" selected="0">
            <x v="14"/>
          </reference>
        </references>
      </pivotArea>
    </chartFormat>
    <chartFormat chart="0" format="20">
      <pivotArea type="data" outline="0" fieldPosition="0">
        <references count="2">
          <reference field="4294967294" count="1" selected="0">
            <x v="0"/>
          </reference>
          <reference field="1" count="1" selected="0">
            <x v="40"/>
          </reference>
        </references>
      </pivotArea>
    </chartFormat>
    <chartFormat chart="0" format="21">
      <pivotArea type="data" outline="0" fieldPosition="0">
        <references count="2">
          <reference field="4294967294" count="1" selected="0">
            <x v="0"/>
          </reference>
          <reference field="1" count="1" selected="0">
            <x v="72"/>
          </reference>
        </references>
      </pivotArea>
    </chartFormat>
    <chartFormat chart="0" format="22">
      <pivotArea type="data" outline="0" fieldPosition="0">
        <references count="2">
          <reference field="4294967294" count="1" selected="0">
            <x v="0"/>
          </reference>
          <reference field="1" count="1" selected="0">
            <x v="19"/>
          </reference>
        </references>
      </pivotArea>
    </chartFormat>
    <chartFormat chart="0" format="23">
      <pivotArea type="data" outline="0" fieldPosition="0">
        <references count="2">
          <reference field="4294967294" count="1" selected="0">
            <x v="0"/>
          </reference>
          <reference field="1" count="1" selected="0">
            <x v="100"/>
          </reference>
        </references>
      </pivotArea>
    </chartFormat>
    <chartFormat chart="0" format="24">
      <pivotArea type="data" outline="0" fieldPosition="0">
        <references count="2">
          <reference field="4294967294" count="1" selected="0">
            <x v="0"/>
          </reference>
          <reference field="1" count="1" selected="0">
            <x v="119"/>
          </reference>
        </references>
      </pivotArea>
    </chartFormat>
    <chartFormat chart="0" format="25">
      <pivotArea type="data" outline="0" fieldPosition="0">
        <references count="2">
          <reference field="4294967294" count="1" selected="0">
            <x v="0"/>
          </reference>
          <reference field="1" count="1" selected="0">
            <x v="0"/>
          </reference>
        </references>
      </pivotArea>
    </chartFormat>
    <chartFormat chart="0" format="26">
      <pivotArea type="data" outline="0" fieldPosition="0">
        <references count="2">
          <reference field="4294967294" count="1" selected="0">
            <x v="0"/>
          </reference>
          <reference field="1" count="1" selected="0">
            <x v="20"/>
          </reference>
        </references>
      </pivotArea>
    </chartFormat>
    <chartFormat chart="0" format="27">
      <pivotArea type="data" outline="0" fieldPosition="0">
        <references count="2">
          <reference field="4294967294" count="1" selected="0">
            <x v="0"/>
          </reference>
          <reference field="1" count="1" selected="0">
            <x v="61"/>
          </reference>
        </references>
      </pivotArea>
    </chartFormat>
    <chartFormat chart="0" format="28">
      <pivotArea type="data" outline="0" fieldPosition="0">
        <references count="2">
          <reference field="4294967294" count="1" selected="0">
            <x v="0"/>
          </reference>
          <reference field="1" count="1" selected="0">
            <x v="93"/>
          </reference>
        </references>
      </pivotArea>
    </chartFormat>
  </chartFormats>
  <pivotTableStyleInfo name="PivotStyleMedium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7A7408-8B87-4635-9D63-DC21A7EFC692}"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G3:H8" firstHeaderRow="1" firstDataRow="1" firstDataCol="1"/>
  <pivotFields count="12">
    <pivotField showAll="0"/>
    <pivotField axis="axisRow" showAll="0" measureFilter="1">
      <items count="150">
        <item x="34"/>
        <item x="22"/>
        <item x="79"/>
        <item x="63"/>
        <item x="12"/>
        <item x="109"/>
        <item x="125"/>
        <item x="115"/>
        <item x="76"/>
        <item x="108"/>
        <item x="101"/>
        <item x="58"/>
        <item x="57"/>
        <item x="128"/>
        <item x="5"/>
        <item x="24"/>
        <item x="53"/>
        <item x="54"/>
        <item x="133"/>
        <item x="2"/>
        <item x="15"/>
        <item x="14"/>
        <item x="45"/>
        <item x="16"/>
        <item x="29"/>
        <item x="30"/>
        <item x="121"/>
        <item x="44"/>
        <item x="78"/>
        <item x="33"/>
        <item x="88"/>
        <item x="41"/>
        <item x="96"/>
        <item x="59"/>
        <item x="75"/>
        <item x="145"/>
        <item x="126"/>
        <item x="70"/>
        <item x="84"/>
        <item x="90"/>
        <item x="146"/>
        <item x="137"/>
        <item x="83"/>
        <item x="13"/>
        <item x="69"/>
        <item x="39"/>
        <item x="6"/>
        <item x="82"/>
        <item x="127"/>
        <item x="61"/>
        <item x="28"/>
        <item x="123"/>
        <item x="134"/>
        <item x="129"/>
        <item x="36"/>
        <item x="107"/>
        <item x="132"/>
        <item x="17"/>
        <item x="73"/>
        <item x="111"/>
        <item x="142"/>
        <item x="102"/>
        <item x="110"/>
        <item x="117"/>
        <item x="143"/>
        <item x="21"/>
        <item x="138"/>
        <item x="105"/>
        <item x="65"/>
        <item x="94"/>
        <item x="67"/>
        <item x="77"/>
        <item x="97"/>
        <item x="93"/>
        <item x="95"/>
        <item x="62"/>
        <item x="122"/>
        <item x="104"/>
        <item x="74"/>
        <item x="27"/>
        <item x="25"/>
        <item x="119"/>
        <item x="141"/>
        <item x="55"/>
        <item x="116"/>
        <item x="66"/>
        <item x="0"/>
        <item x="114"/>
        <item x="89"/>
        <item x="43"/>
        <item x="37"/>
        <item x="140"/>
        <item x="52"/>
        <item x="23"/>
        <item x="60"/>
        <item x="46"/>
        <item x="124"/>
        <item x="35"/>
        <item x="18"/>
        <item x="51"/>
        <item x="85"/>
        <item x="38"/>
        <item x="131"/>
        <item x="56"/>
        <item x="71"/>
        <item x="148"/>
        <item x="81"/>
        <item x="99"/>
        <item x="31"/>
        <item x="20"/>
        <item x="48"/>
        <item x="120"/>
        <item x="113"/>
        <item x="64"/>
        <item x="49"/>
        <item x="118"/>
        <item x="50"/>
        <item x="26"/>
        <item x="11"/>
        <item x="139"/>
        <item x="136"/>
        <item x="135"/>
        <item x="10"/>
        <item x="8"/>
        <item x="9"/>
        <item x="100"/>
        <item x="130"/>
        <item x="40"/>
        <item x="112"/>
        <item x="7"/>
        <item x="4"/>
        <item x="3"/>
        <item x="68"/>
        <item x="1"/>
        <item x="144"/>
        <item x="91"/>
        <item x="98"/>
        <item x="106"/>
        <item x="19"/>
        <item x="80"/>
        <item x="42"/>
        <item x="32"/>
        <item x="92"/>
        <item x="86"/>
        <item x="103"/>
        <item x="87"/>
        <item x="47"/>
        <item x="72"/>
        <item x="147"/>
        <item t="default"/>
      </items>
    </pivotField>
    <pivotField showAll="0">
      <items count="9">
        <item h="1" x="2"/>
        <item h="1" x="1"/>
        <item h="1" x="0"/>
        <item x="5"/>
        <item h="1" x="4"/>
        <item h="1" x="3"/>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2"/>
    </i>
    <i>
      <x v="23"/>
    </i>
    <i>
      <x v="51"/>
    </i>
    <i>
      <x v="58"/>
    </i>
    <i>
      <x v="76"/>
    </i>
  </rowItems>
  <colItems count="1">
    <i/>
  </colItems>
  <dataFields count="1">
    <dataField name="Sum of TARGET HIT %" fld="10" baseField="1" baseItem="4"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4"/>
          </reference>
        </references>
      </pivotArea>
    </chartFormat>
    <chartFormat chart="0" format="2">
      <pivotArea type="data" outline="0" fieldPosition="0">
        <references count="2">
          <reference field="4294967294" count="1" selected="0">
            <x v="0"/>
          </reference>
          <reference field="1" count="1" selected="0">
            <x v="76"/>
          </reference>
        </references>
      </pivotArea>
    </chartFormat>
    <chartFormat chart="0" format="3">
      <pivotArea type="data" outline="0" fieldPosition="0">
        <references count="2">
          <reference field="4294967294" count="1" selected="0">
            <x v="0"/>
          </reference>
          <reference field="1" count="1" selected="0">
            <x v="87"/>
          </reference>
        </references>
      </pivotArea>
    </chartFormat>
    <chartFormat chart="0" format="4">
      <pivotArea type="data" outline="0" fieldPosition="0">
        <references count="2">
          <reference field="4294967294" count="1" selected="0">
            <x v="0"/>
          </reference>
          <reference field="1" count="1" selected="0">
            <x v="123"/>
          </reference>
        </references>
      </pivotArea>
    </chartFormat>
    <chartFormat chart="0" format="5">
      <pivotArea type="data" outline="0" fieldPosition="0">
        <references count="2">
          <reference field="4294967294" count="1" selected="0">
            <x v="0"/>
          </reference>
          <reference field="1" count="1" selected="0">
            <x v="130"/>
          </reference>
        </references>
      </pivotArea>
    </chartFormat>
    <chartFormat chart="0" format="6">
      <pivotArea type="data" outline="0" fieldPosition="0">
        <references count="2">
          <reference field="4294967294" count="1" selected="0">
            <x v="0"/>
          </reference>
          <reference field="1" count="1" selected="0">
            <x v="138"/>
          </reference>
        </references>
      </pivotArea>
    </chartFormat>
    <chartFormat chart="0" format="7">
      <pivotArea type="data" outline="0" fieldPosition="0">
        <references count="2">
          <reference field="4294967294" count="1" selected="0">
            <x v="0"/>
          </reference>
          <reference field="1" count="1" selected="0">
            <x v="52"/>
          </reference>
        </references>
      </pivotArea>
    </chartFormat>
    <chartFormat chart="0" format="8">
      <pivotArea type="data" outline="0" fieldPosition="0">
        <references count="2">
          <reference field="4294967294" count="1" selected="0">
            <x v="0"/>
          </reference>
          <reference field="1" count="1" selected="0">
            <x v="69"/>
          </reference>
        </references>
      </pivotArea>
    </chartFormat>
    <chartFormat chart="0" format="9">
      <pivotArea type="data" outline="0" fieldPosition="0">
        <references count="2">
          <reference field="4294967294" count="1" selected="0">
            <x v="0"/>
          </reference>
          <reference field="1" count="1" selected="0">
            <x v="84"/>
          </reference>
        </references>
      </pivotArea>
    </chartFormat>
    <chartFormat chart="0" format="10">
      <pivotArea type="data" outline="0" fieldPosition="0">
        <references count="2">
          <reference field="4294967294" count="1" selected="0">
            <x v="0"/>
          </reference>
          <reference field="1" count="1" selected="0">
            <x v="108"/>
          </reference>
        </references>
      </pivotArea>
    </chartFormat>
    <chartFormat chart="0" format="11">
      <pivotArea type="data" outline="0" fieldPosition="0">
        <references count="2">
          <reference field="4294967294" count="1" selected="0">
            <x v="0"/>
          </reference>
          <reference field="1" count="1" selected="0">
            <x v="143"/>
          </reference>
        </references>
      </pivotArea>
    </chartFormat>
    <chartFormat chart="0" format="12">
      <pivotArea type="data" outline="0" fieldPosition="0">
        <references count="2">
          <reference field="4294967294" count="1" selected="0">
            <x v="0"/>
          </reference>
          <reference field="1" count="1" selected="0">
            <x v="22"/>
          </reference>
        </references>
      </pivotArea>
    </chartFormat>
    <chartFormat chart="0" format="13">
      <pivotArea type="data" outline="0" fieldPosition="0">
        <references count="2">
          <reference field="4294967294" count="1" selected="0">
            <x v="0"/>
          </reference>
          <reference field="1" count="1" selected="0">
            <x v="23"/>
          </reference>
        </references>
      </pivotArea>
    </chartFormat>
    <chartFormat chart="0" format="14">
      <pivotArea type="data" outline="0" fieldPosition="0">
        <references count="2">
          <reference field="4294967294" count="1" selected="0">
            <x v="0"/>
          </reference>
          <reference field="1" count="1" selected="0">
            <x v="51"/>
          </reference>
        </references>
      </pivotArea>
    </chartFormat>
    <chartFormat chart="0" format="15">
      <pivotArea type="data" outline="0" fieldPosition="0">
        <references count="2">
          <reference field="4294967294" count="1" selected="0">
            <x v="0"/>
          </reference>
          <reference field="1" count="1" selected="0">
            <x v="58"/>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51CB95-027B-46A2-9F6F-1DA6861D6FB2}"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D3:E8" firstHeaderRow="1" firstDataRow="1" firstDataCol="1"/>
  <pivotFields count="12">
    <pivotField showAll="0"/>
    <pivotField axis="axisRow" showAll="0" measureFilter="1">
      <items count="150">
        <item x="34"/>
        <item x="22"/>
        <item x="79"/>
        <item x="63"/>
        <item x="12"/>
        <item x="109"/>
        <item x="125"/>
        <item x="115"/>
        <item x="76"/>
        <item x="108"/>
        <item x="101"/>
        <item x="58"/>
        <item x="57"/>
        <item x="128"/>
        <item x="5"/>
        <item x="24"/>
        <item x="53"/>
        <item x="54"/>
        <item x="133"/>
        <item x="2"/>
        <item x="15"/>
        <item x="14"/>
        <item x="45"/>
        <item x="16"/>
        <item x="29"/>
        <item x="30"/>
        <item x="121"/>
        <item x="44"/>
        <item x="78"/>
        <item x="33"/>
        <item x="88"/>
        <item x="41"/>
        <item x="96"/>
        <item x="59"/>
        <item x="75"/>
        <item x="145"/>
        <item x="126"/>
        <item x="70"/>
        <item x="84"/>
        <item x="90"/>
        <item x="146"/>
        <item x="137"/>
        <item x="83"/>
        <item x="13"/>
        <item x="69"/>
        <item x="39"/>
        <item x="6"/>
        <item x="82"/>
        <item x="127"/>
        <item x="61"/>
        <item x="28"/>
        <item x="123"/>
        <item x="134"/>
        <item x="129"/>
        <item x="36"/>
        <item x="107"/>
        <item x="132"/>
        <item x="17"/>
        <item x="73"/>
        <item x="111"/>
        <item x="142"/>
        <item x="102"/>
        <item x="110"/>
        <item x="117"/>
        <item x="143"/>
        <item x="21"/>
        <item x="138"/>
        <item x="105"/>
        <item x="65"/>
        <item x="94"/>
        <item x="67"/>
        <item x="77"/>
        <item x="97"/>
        <item x="93"/>
        <item x="95"/>
        <item x="62"/>
        <item x="122"/>
        <item x="104"/>
        <item x="74"/>
        <item x="27"/>
        <item x="25"/>
        <item x="119"/>
        <item x="141"/>
        <item x="55"/>
        <item x="116"/>
        <item x="66"/>
        <item x="0"/>
        <item x="114"/>
        <item x="89"/>
        <item x="43"/>
        <item x="37"/>
        <item x="140"/>
        <item x="52"/>
        <item x="23"/>
        <item x="60"/>
        <item x="46"/>
        <item x="124"/>
        <item x="35"/>
        <item x="18"/>
        <item x="51"/>
        <item x="85"/>
        <item x="38"/>
        <item x="131"/>
        <item x="56"/>
        <item x="71"/>
        <item x="148"/>
        <item x="81"/>
        <item x="99"/>
        <item x="31"/>
        <item x="20"/>
        <item x="48"/>
        <item x="120"/>
        <item x="113"/>
        <item x="64"/>
        <item x="49"/>
        <item x="118"/>
        <item x="50"/>
        <item x="26"/>
        <item x="11"/>
        <item x="139"/>
        <item x="136"/>
        <item x="135"/>
        <item x="10"/>
        <item x="8"/>
        <item x="9"/>
        <item x="100"/>
        <item x="130"/>
        <item x="40"/>
        <item x="112"/>
        <item x="7"/>
        <item x="4"/>
        <item x="3"/>
        <item x="68"/>
        <item x="1"/>
        <item x="144"/>
        <item x="91"/>
        <item x="98"/>
        <item x="106"/>
        <item x="19"/>
        <item x="80"/>
        <item x="42"/>
        <item x="32"/>
        <item x="92"/>
        <item x="86"/>
        <item x="103"/>
        <item x="87"/>
        <item x="47"/>
        <item x="72"/>
        <item x="147"/>
        <item t="default"/>
      </items>
    </pivotField>
    <pivotField showAll="0">
      <items count="9">
        <item h="1" x="2"/>
        <item h="1" x="1"/>
        <item h="1" x="0"/>
        <item x="5"/>
        <item h="1" x="4"/>
        <item h="1" x="3"/>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8"/>
    </i>
    <i>
      <x v="78"/>
    </i>
    <i>
      <x v="97"/>
    </i>
    <i>
      <x v="101"/>
    </i>
    <i>
      <x v="140"/>
    </i>
  </rowItems>
  <colItems count="1">
    <i/>
  </colItems>
  <dataFields count="1">
    <dataField name="Total Sales " fld="8" baseField="1" baseItem="4"/>
  </dataFields>
  <pivotTableStyleInfo name="PivotStyleMedium17"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B47FAC-0EE9-4B45-9763-1EFF016CF823}"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2" rowHeaderCaption="Sales Executive">
  <location ref="A3:B8" firstHeaderRow="1" firstDataRow="1" firstDataCol="1"/>
  <pivotFields count="12">
    <pivotField showAll="0"/>
    <pivotField axis="axisRow" showAll="0" measureFilter="1">
      <items count="150">
        <item x="34"/>
        <item x="22"/>
        <item x="79"/>
        <item x="63"/>
        <item x="12"/>
        <item x="109"/>
        <item x="125"/>
        <item x="115"/>
        <item x="76"/>
        <item x="108"/>
        <item x="101"/>
        <item x="58"/>
        <item x="57"/>
        <item x="128"/>
        <item x="5"/>
        <item x="24"/>
        <item x="53"/>
        <item x="54"/>
        <item x="133"/>
        <item x="2"/>
        <item x="15"/>
        <item x="14"/>
        <item x="45"/>
        <item x="16"/>
        <item x="29"/>
        <item x="30"/>
        <item x="121"/>
        <item x="44"/>
        <item x="78"/>
        <item x="33"/>
        <item x="88"/>
        <item x="41"/>
        <item x="96"/>
        <item x="59"/>
        <item x="75"/>
        <item x="145"/>
        <item x="126"/>
        <item x="70"/>
        <item x="84"/>
        <item x="90"/>
        <item x="146"/>
        <item x="137"/>
        <item x="83"/>
        <item x="13"/>
        <item x="69"/>
        <item x="39"/>
        <item x="6"/>
        <item x="82"/>
        <item x="127"/>
        <item x="61"/>
        <item x="28"/>
        <item x="123"/>
        <item x="134"/>
        <item x="129"/>
        <item x="36"/>
        <item x="107"/>
        <item x="132"/>
        <item x="17"/>
        <item x="73"/>
        <item x="111"/>
        <item x="142"/>
        <item x="102"/>
        <item x="110"/>
        <item x="117"/>
        <item x="143"/>
        <item x="21"/>
        <item x="138"/>
        <item x="105"/>
        <item x="65"/>
        <item x="94"/>
        <item x="67"/>
        <item x="77"/>
        <item x="97"/>
        <item x="93"/>
        <item x="95"/>
        <item x="62"/>
        <item x="122"/>
        <item x="104"/>
        <item x="74"/>
        <item x="27"/>
        <item x="25"/>
        <item x="119"/>
        <item x="141"/>
        <item x="55"/>
        <item x="116"/>
        <item x="66"/>
        <item x="0"/>
        <item x="114"/>
        <item x="89"/>
        <item x="43"/>
        <item x="37"/>
        <item x="140"/>
        <item x="52"/>
        <item x="23"/>
        <item x="60"/>
        <item x="46"/>
        <item x="124"/>
        <item x="35"/>
        <item x="18"/>
        <item x="51"/>
        <item x="85"/>
        <item x="38"/>
        <item x="131"/>
        <item x="56"/>
        <item x="71"/>
        <item x="148"/>
        <item x="81"/>
        <item x="99"/>
        <item x="31"/>
        <item x="20"/>
        <item x="48"/>
        <item x="120"/>
        <item x="113"/>
        <item x="64"/>
        <item x="49"/>
        <item x="118"/>
        <item x="50"/>
        <item x="26"/>
        <item x="11"/>
        <item x="139"/>
        <item x="136"/>
        <item x="135"/>
        <item x="10"/>
        <item x="8"/>
        <item x="9"/>
        <item x="100"/>
        <item x="130"/>
        <item x="40"/>
        <item x="112"/>
        <item x="7"/>
        <item x="4"/>
        <item x="3"/>
        <item x="68"/>
        <item x="1"/>
        <item x="144"/>
        <item x="91"/>
        <item x="98"/>
        <item x="106"/>
        <item x="19"/>
        <item x="80"/>
        <item x="42"/>
        <item x="32"/>
        <item x="92"/>
        <item x="86"/>
        <item x="103"/>
        <item x="87"/>
        <item x="47"/>
        <item x="72"/>
        <item x="147"/>
        <item t="default"/>
      </items>
    </pivotField>
    <pivotField showAll="0">
      <items count="9">
        <item h="1" x="2"/>
        <item h="1" x="1"/>
        <item h="1" x="0"/>
        <item x="5"/>
        <item h="1" x="4"/>
        <item h="1" x="3"/>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6"/>
    </i>
    <i>
      <x v="87"/>
    </i>
    <i>
      <x v="123"/>
    </i>
    <i>
      <x v="130"/>
    </i>
    <i>
      <x v="138"/>
    </i>
  </rowItems>
  <colItems count="1">
    <i/>
  </colItems>
  <dataFields count="1">
    <dataField name="Total Sales " fld="8" baseField="1" baseItem="4"/>
  </dataFields>
  <chartFormats count="1">
    <chartFormat chart="1"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8A54358-DC0A-4711-9BA6-D1054369F7E5}" sourceName="REGION">
  <pivotTables>
    <pivotTable tabId="8" name="PivotTable2"/>
    <pivotTable tabId="8" name="PivotTable3"/>
  </pivotTables>
  <data>
    <tabular pivotCacheId="1735544112">
      <items count="8">
        <i x="2"/>
        <i x="1"/>
        <i x="0"/>
        <i x="5" s="1"/>
        <i x="4"/>
        <i x="3"/>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9300221-7C1D-41BD-A5A0-1FB1FE291729}" cache="Slicer_REGION" caption="REGION" columnCount="8" showCaption="0"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5C1AD1-A535-4382-81D2-6A955B97E668}" name="Table4" displayName="Table4" ref="C1:C150" totalsRowShown="0" headerRowDxfId="0">
  <autoFilter ref="C1:C150" xr:uid="{2F5C1AD1-A535-4382-81D2-6A955B97E668}">
    <filterColumn colId="0" hiddenButton="1"/>
  </autoFilter>
  <tableColumns count="1">
    <tableColumn id="1" xr3:uid="{C8FA9905-CC90-487B-A931-45C54328655D}" name="REGIO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45A23-0B92-4386-9C67-B92708940999}">
  <sheetPr codeName="Sheet1"/>
  <dimension ref="A1:R30"/>
  <sheetViews>
    <sheetView tabSelected="1" workbookViewId="0">
      <selection activeCell="J26" sqref="J26"/>
    </sheetView>
  </sheetViews>
  <sheetFormatPr defaultRowHeight="14.4" x14ac:dyDescent="0.3"/>
  <cols>
    <col min="1" max="1" width="27" customWidth="1"/>
    <col min="2" max="2" width="10.33203125" bestFit="1" customWidth="1"/>
    <col min="3" max="3" width="3.109375" customWidth="1"/>
    <col min="4" max="4" width="27" customWidth="1"/>
    <col min="5" max="5" width="10.33203125" customWidth="1"/>
    <col min="6" max="6" width="3.109375" customWidth="1"/>
    <col min="7" max="7" width="29.5546875" customWidth="1"/>
    <col min="8" max="8" width="22.6640625" customWidth="1"/>
    <col min="9" max="9" width="3.109375" customWidth="1"/>
    <col min="10" max="10" width="28.21875" customWidth="1"/>
    <col min="11" max="11" width="29.5546875" customWidth="1"/>
  </cols>
  <sheetData>
    <row r="1" spans="1:18" ht="28.8" customHeight="1" x14ac:dyDescent="0.3">
      <c r="A1" s="10" t="b">
        <v>0</v>
      </c>
      <c r="B1" s="10"/>
      <c r="C1" s="10"/>
      <c r="D1" s="10" t="b">
        <v>1</v>
      </c>
      <c r="E1" s="10"/>
      <c r="F1" s="10"/>
      <c r="G1" s="10" t="b">
        <v>1</v>
      </c>
      <c r="H1" s="10"/>
      <c r="I1" s="10"/>
      <c r="J1" s="10" t="b">
        <v>0</v>
      </c>
      <c r="K1" s="10"/>
      <c r="L1" s="10"/>
      <c r="M1" s="10"/>
      <c r="N1" s="10"/>
      <c r="O1" s="10"/>
      <c r="P1" s="10"/>
      <c r="Q1" s="10"/>
      <c r="R1" s="10"/>
    </row>
    <row r="2" spans="1:18" ht="37.799999999999997" customHeight="1" x14ac:dyDescent="0.3">
      <c r="A2" s="10"/>
      <c r="B2" s="10"/>
      <c r="C2" s="10"/>
      <c r="D2" s="10"/>
      <c r="E2" s="10"/>
      <c r="F2" s="10"/>
      <c r="G2" s="10"/>
      <c r="H2" s="10"/>
      <c r="I2" s="10"/>
      <c r="J2" s="10"/>
      <c r="K2" s="10"/>
      <c r="L2" s="10"/>
      <c r="M2" s="10"/>
      <c r="N2" s="10"/>
      <c r="O2" s="10"/>
      <c r="P2" s="10"/>
      <c r="Q2" s="10"/>
      <c r="R2" s="10"/>
    </row>
    <row r="3" spans="1:18" x14ac:dyDescent="0.3">
      <c r="A3" s="6" t="s">
        <v>319</v>
      </c>
      <c r="B3" t="s">
        <v>320</v>
      </c>
      <c r="C3" s="10"/>
      <c r="D3" s="6" t="s">
        <v>319</v>
      </c>
      <c r="E3" t="s">
        <v>320</v>
      </c>
      <c r="F3" s="10"/>
      <c r="G3" s="6" t="s">
        <v>321</v>
      </c>
      <c r="H3" t="s">
        <v>318</v>
      </c>
      <c r="I3" s="10"/>
      <c r="J3" s="6" t="s">
        <v>321</v>
      </c>
      <c r="K3" t="s">
        <v>322</v>
      </c>
      <c r="L3" s="10"/>
      <c r="M3" s="10"/>
      <c r="N3" s="10"/>
      <c r="O3" s="10"/>
      <c r="P3" s="10"/>
      <c r="Q3" s="10"/>
      <c r="R3" s="10"/>
    </row>
    <row r="4" spans="1:18" x14ac:dyDescent="0.3">
      <c r="A4" s="7" t="s">
        <v>273</v>
      </c>
      <c r="B4" s="8">
        <v>384</v>
      </c>
      <c r="C4" s="10"/>
      <c r="D4" s="7" t="s">
        <v>223</v>
      </c>
      <c r="E4" s="8">
        <v>284</v>
      </c>
      <c r="F4" s="10"/>
      <c r="G4" s="7" t="s">
        <v>195</v>
      </c>
      <c r="H4" s="9">
        <v>0.57999999999999996</v>
      </c>
      <c r="I4" s="10"/>
      <c r="J4" s="7" t="s">
        <v>295</v>
      </c>
      <c r="K4" s="9">
        <v>0.56200000000000006</v>
      </c>
      <c r="L4" s="10"/>
      <c r="M4" s="10"/>
      <c r="N4" s="10"/>
      <c r="O4" s="10"/>
      <c r="P4" s="10"/>
      <c r="Q4" s="10"/>
      <c r="R4" s="10"/>
    </row>
    <row r="5" spans="1:18" x14ac:dyDescent="0.3">
      <c r="A5" s="7" t="s">
        <v>265</v>
      </c>
      <c r="B5" s="8">
        <v>406</v>
      </c>
      <c r="C5" s="10"/>
      <c r="D5" s="7" t="s">
        <v>224</v>
      </c>
      <c r="E5" s="8">
        <v>283</v>
      </c>
      <c r="F5" s="10"/>
      <c r="G5" s="7" t="s">
        <v>166</v>
      </c>
      <c r="H5" s="9">
        <v>0.59</v>
      </c>
      <c r="I5" s="10"/>
      <c r="J5" s="7" t="s">
        <v>291</v>
      </c>
      <c r="K5" s="9">
        <v>0.57000000000000006</v>
      </c>
      <c r="L5" s="10"/>
      <c r="M5" s="10"/>
      <c r="N5" s="10"/>
      <c r="O5" s="10"/>
      <c r="P5" s="10"/>
      <c r="Q5" s="10"/>
      <c r="R5" s="10"/>
    </row>
    <row r="6" spans="1:18" x14ac:dyDescent="0.3">
      <c r="A6" s="7" t="s">
        <v>158</v>
      </c>
      <c r="B6" s="8">
        <v>389</v>
      </c>
      <c r="C6" s="10"/>
      <c r="D6" s="7" t="s">
        <v>185</v>
      </c>
      <c r="E6" s="8">
        <v>253</v>
      </c>
      <c r="F6" s="10"/>
      <c r="G6" s="7" t="s">
        <v>274</v>
      </c>
      <c r="H6" s="9">
        <v>0.66600000000000004</v>
      </c>
      <c r="I6" s="10"/>
      <c r="J6" s="7" t="s">
        <v>298</v>
      </c>
      <c r="K6" s="9">
        <v>0.55000000000000004</v>
      </c>
      <c r="L6" s="10"/>
      <c r="M6" s="10"/>
      <c r="N6" s="10"/>
      <c r="O6" s="10"/>
      <c r="P6" s="10"/>
      <c r="Q6" s="10"/>
      <c r="R6" s="10"/>
    </row>
    <row r="7" spans="1:18" x14ac:dyDescent="0.3">
      <c r="A7" s="7" t="s">
        <v>154</v>
      </c>
      <c r="B7" s="8">
        <v>377</v>
      </c>
      <c r="C7" s="10"/>
      <c r="D7" s="7" t="s">
        <v>188</v>
      </c>
      <c r="E7" s="8">
        <v>257</v>
      </c>
      <c r="F7" s="10"/>
      <c r="G7" s="7" t="s">
        <v>223</v>
      </c>
      <c r="H7" s="9">
        <v>0.56799999999999995</v>
      </c>
      <c r="I7" s="10"/>
      <c r="J7" s="7" t="s">
        <v>250</v>
      </c>
      <c r="K7" s="9">
        <v>0.54800000000000004</v>
      </c>
      <c r="L7" s="10"/>
      <c r="M7" s="10"/>
      <c r="N7" s="10"/>
      <c r="O7" s="10"/>
      <c r="P7" s="10"/>
      <c r="Q7" s="10"/>
      <c r="R7" s="10"/>
    </row>
    <row r="8" spans="1:18" x14ac:dyDescent="0.3">
      <c r="A8" s="7" t="s">
        <v>169</v>
      </c>
      <c r="B8" s="8">
        <v>372</v>
      </c>
      <c r="C8" s="10"/>
      <c r="D8" s="7" t="s">
        <v>192</v>
      </c>
      <c r="E8" s="8">
        <v>282</v>
      </c>
      <c r="F8" s="10"/>
      <c r="G8" s="7" t="s">
        <v>273</v>
      </c>
      <c r="H8" s="9">
        <v>0.76800000000000002</v>
      </c>
      <c r="I8" s="10"/>
      <c r="J8" s="7" t="s">
        <v>297</v>
      </c>
      <c r="K8" s="9">
        <v>0.56800000000000006</v>
      </c>
      <c r="L8" s="10"/>
      <c r="M8" s="10"/>
      <c r="N8" s="10"/>
      <c r="O8" s="10"/>
      <c r="P8" s="10"/>
      <c r="Q8" s="10"/>
      <c r="R8" s="10"/>
    </row>
    <row r="9" spans="1:18" x14ac:dyDescent="0.3">
      <c r="A9" s="10"/>
      <c r="B9" s="10"/>
      <c r="C9" s="10"/>
      <c r="D9" s="10"/>
      <c r="E9" s="10"/>
      <c r="F9" s="10"/>
      <c r="G9" s="10"/>
      <c r="H9" s="10"/>
      <c r="I9" s="10"/>
      <c r="J9" s="10"/>
      <c r="K9" s="10"/>
      <c r="L9" s="10"/>
      <c r="M9" s="10"/>
      <c r="N9" s="10"/>
      <c r="O9" s="10"/>
      <c r="P9" s="10"/>
      <c r="Q9" s="10"/>
      <c r="R9" s="10"/>
    </row>
    <row r="10" spans="1:18" x14ac:dyDescent="0.3">
      <c r="A10" s="10"/>
      <c r="B10" s="10"/>
      <c r="C10" s="10"/>
      <c r="D10" s="10"/>
      <c r="E10" s="10"/>
      <c r="F10" s="10"/>
      <c r="G10" s="10"/>
      <c r="H10" s="10"/>
      <c r="I10" s="10"/>
      <c r="J10" s="10"/>
      <c r="K10" s="10"/>
      <c r="L10" s="10"/>
      <c r="M10" s="11"/>
      <c r="N10" s="10"/>
      <c r="O10" s="10"/>
      <c r="P10" s="10"/>
      <c r="Q10" s="10"/>
      <c r="R10" s="10"/>
    </row>
    <row r="11" spans="1:18" x14ac:dyDescent="0.3">
      <c r="A11" s="10"/>
      <c r="B11" s="10"/>
      <c r="C11" s="10"/>
      <c r="D11" s="10"/>
      <c r="E11" s="10"/>
      <c r="F11" s="10"/>
      <c r="G11" s="10"/>
      <c r="H11" s="10"/>
      <c r="I11" s="10"/>
      <c r="J11" s="10"/>
      <c r="K11" s="10"/>
      <c r="L11" s="10"/>
      <c r="M11" s="10"/>
      <c r="N11" s="10"/>
      <c r="O11" s="10"/>
      <c r="P11" s="10"/>
      <c r="Q11" s="10"/>
      <c r="R11" s="10"/>
    </row>
    <row r="12" spans="1:18" x14ac:dyDescent="0.3">
      <c r="A12" s="10"/>
      <c r="B12" s="10"/>
      <c r="C12" s="10"/>
      <c r="D12" s="10"/>
      <c r="E12" s="10"/>
      <c r="F12" s="10"/>
      <c r="G12" s="10"/>
      <c r="H12" s="10"/>
      <c r="I12" s="10"/>
      <c r="J12" s="10"/>
      <c r="K12" s="10"/>
      <c r="L12" s="10"/>
      <c r="M12" s="10"/>
      <c r="N12" s="10"/>
      <c r="O12" s="10"/>
      <c r="P12" s="10"/>
      <c r="Q12" s="10"/>
      <c r="R12" s="10"/>
    </row>
    <row r="13" spans="1:18" x14ac:dyDescent="0.3">
      <c r="A13" s="10"/>
      <c r="B13" s="10"/>
      <c r="C13" s="10"/>
      <c r="D13" s="10"/>
      <c r="E13" s="10"/>
      <c r="F13" s="10"/>
      <c r="G13" s="10"/>
      <c r="H13" s="10"/>
      <c r="I13" s="10"/>
      <c r="J13" s="10"/>
      <c r="K13" s="10"/>
      <c r="L13" s="10"/>
      <c r="M13" s="10"/>
      <c r="N13" s="10"/>
      <c r="O13" s="10"/>
      <c r="P13" s="10"/>
      <c r="Q13" s="10"/>
      <c r="R13" s="10"/>
    </row>
    <row r="14" spans="1:18" x14ac:dyDescent="0.3">
      <c r="A14" s="10"/>
      <c r="B14" s="10"/>
      <c r="C14" s="10"/>
      <c r="D14" s="10"/>
      <c r="E14" s="10"/>
      <c r="F14" s="10"/>
      <c r="G14" s="10"/>
      <c r="H14" s="10"/>
      <c r="I14" s="10"/>
      <c r="J14" s="10"/>
      <c r="K14" s="10"/>
      <c r="L14" s="10"/>
      <c r="M14" s="10"/>
      <c r="N14" s="10"/>
      <c r="O14" s="10"/>
      <c r="P14" s="10"/>
      <c r="Q14" s="10"/>
      <c r="R14" s="10"/>
    </row>
    <row r="15" spans="1:18" x14ac:dyDescent="0.3">
      <c r="A15" s="10"/>
      <c r="B15" s="10"/>
      <c r="C15" s="10"/>
      <c r="D15" s="10"/>
      <c r="E15" s="10"/>
      <c r="F15" s="10"/>
      <c r="G15" s="10"/>
      <c r="H15" s="10"/>
      <c r="I15" s="10"/>
      <c r="J15" s="10"/>
      <c r="K15" s="10"/>
      <c r="L15" s="10"/>
      <c r="M15" s="10"/>
      <c r="N15" s="10"/>
      <c r="O15" s="10"/>
      <c r="P15" s="10"/>
      <c r="Q15" s="10"/>
      <c r="R15" s="10"/>
    </row>
    <row r="16" spans="1:18" x14ac:dyDescent="0.3">
      <c r="A16" s="10"/>
      <c r="B16" s="10"/>
      <c r="C16" s="10"/>
      <c r="D16" s="10"/>
      <c r="E16" s="10"/>
      <c r="F16" s="10"/>
      <c r="G16" s="10"/>
      <c r="H16" s="10"/>
      <c r="I16" s="10"/>
      <c r="J16" s="10"/>
      <c r="K16" s="10"/>
      <c r="L16" s="10"/>
      <c r="M16" s="10"/>
      <c r="N16" s="10"/>
      <c r="O16" s="10"/>
      <c r="P16" s="10"/>
      <c r="Q16" s="10"/>
      <c r="R16" s="10"/>
    </row>
    <row r="17" spans="1:18" x14ac:dyDescent="0.3">
      <c r="A17" s="10"/>
      <c r="B17" s="10"/>
      <c r="C17" s="10"/>
      <c r="D17" s="10"/>
      <c r="E17" s="10"/>
      <c r="F17" s="10"/>
      <c r="G17" s="10"/>
      <c r="H17" s="10"/>
      <c r="I17" s="10"/>
      <c r="J17" s="10"/>
      <c r="K17" s="10"/>
      <c r="L17" s="10"/>
      <c r="M17" s="10"/>
      <c r="N17" s="10"/>
      <c r="O17" s="10"/>
      <c r="P17" s="10"/>
      <c r="Q17" s="10"/>
      <c r="R17" s="10"/>
    </row>
    <row r="18" spans="1:18" x14ac:dyDescent="0.3">
      <c r="A18" s="10"/>
      <c r="B18" s="10"/>
      <c r="C18" s="10"/>
      <c r="D18" s="10"/>
      <c r="E18" s="10"/>
      <c r="F18" s="10"/>
      <c r="G18" s="10"/>
      <c r="H18" s="10"/>
      <c r="I18" s="10"/>
      <c r="J18" s="10"/>
      <c r="K18" s="10"/>
      <c r="L18" s="10"/>
      <c r="M18" s="10"/>
      <c r="N18" s="10"/>
      <c r="O18" s="10"/>
      <c r="P18" s="10"/>
      <c r="Q18" s="10"/>
      <c r="R18" s="10"/>
    </row>
    <row r="19" spans="1:18" x14ac:dyDescent="0.3">
      <c r="A19" s="10"/>
      <c r="B19" s="10"/>
      <c r="C19" s="10"/>
      <c r="D19" s="10"/>
      <c r="E19" s="10"/>
      <c r="F19" s="10"/>
      <c r="G19" s="10"/>
      <c r="H19" s="10"/>
      <c r="I19" s="10"/>
      <c r="J19" s="10"/>
      <c r="K19" s="10"/>
      <c r="L19" s="10"/>
      <c r="M19" s="10"/>
      <c r="N19" s="10"/>
      <c r="O19" s="10"/>
      <c r="P19" s="10"/>
      <c r="Q19" s="10"/>
      <c r="R19" s="10"/>
    </row>
    <row r="20" spans="1:18" x14ac:dyDescent="0.3">
      <c r="A20" s="10"/>
      <c r="B20" s="10"/>
      <c r="C20" s="10"/>
      <c r="D20" s="10"/>
      <c r="E20" s="10"/>
      <c r="F20" s="10"/>
      <c r="G20" s="10"/>
      <c r="H20" s="10"/>
      <c r="I20" s="10"/>
      <c r="J20" s="10"/>
      <c r="K20" s="10"/>
      <c r="L20" s="10"/>
      <c r="M20" s="10"/>
      <c r="N20" s="10"/>
      <c r="O20" s="10"/>
      <c r="P20" s="10"/>
      <c r="Q20" s="10"/>
      <c r="R20" s="10"/>
    </row>
    <row r="21" spans="1:18" x14ac:dyDescent="0.3">
      <c r="A21" s="10"/>
      <c r="B21" s="10"/>
      <c r="C21" s="10"/>
      <c r="D21" s="10"/>
      <c r="E21" s="10"/>
      <c r="F21" s="10"/>
      <c r="G21" s="10"/>
      <c r="H21" s="10"/>
      <c r="I21" s="10"/>
      <c r="J21" s="10"/>
      <c r="K21" s="10"/>
      <c r="L21" s="10"/>
      <c r="M21" s="10"/>
      <c r="N21" s="10"/>
      <c r="O21" s="10"/>
      <c r="P21" s="10"/>
      <c r="Q21" s="10"/>
      <c r="R21" s="10"/>
    </row>
    <row r="22" spans="1:18" x14ac:dyDescent="0.3">
      <c r="A22" s="10"/>
      <c r="B22" s="10"/>
      <c r="C22" s="10"/>
      <c r="D22" s="10"/>
      <c r="E22" s="10"/>
      <c r="F22" s="10"/>
      <c r="G22" s="10"/>
      <c r="H22" s="10"/>
      <c r="I22" s="10"/>
      <c r="J22" s="10"/>
      <c r="K22" s="10"/>
      <c r="L22" s="10"/>
      <c r="M22" s="10"/>
      <c r="N22" s="10"/>
      <c r="O22" s="10"/>
      <c r="P22" s="10"/>
      <c r="Q22" s="10"/>
      <c r="R22" s="10"/>
    </row>
    <row r="23" spans="1:18" x14ac:dyDescent="0.3">
      <c r="A23" s="10"/>
      <c r="B23" s="10"/>
      <c r="C23" s="10"/>
      <c r="D23" s="10"/>
      <c r="E23" s="10"/>
      <c r="F23" s="10"/>
      <c r="G23" s="10"/>
      <c r="H23" s="10"/>
      <c r="I23" s="10"/>
      <c r="J23" s="10"/>
      <c r="K23" s="10"/>
      <c r="L23" s="10"/>
      <c r="M23" s="10"/>
      <c r="N23" s="10"/>
      <c r="O23" s="10"/>
      <c r="P23" s="10"/>
      <c r="Q23" s="10"/>
      <c r="R23" s="10"/>
    </row>
    <row r="24" spans="1:18" x14ac:dyDescent="0.3">
      <c r="A24" s="10"/>
      <c r="B24" s="10"/>
      <c r="C24" s="10"/>
      <c r="D24" s="10"/>
      <c r="E24" s="10"/>
      <c r="F24" s="10"/>
      <c r="G24" s="10"/>
      <c r="H24" s="10"/>
      <c r="I24" s="10"/>
      <c r="J24" s="10"/>
      <c r="K24" s="10"/>
      <c r="L24" s="10"/>
      <c r="M24" s="10"/>
      <c r="N24" s="10"/>
      <c r="O24" s="10"/>
      <c r="P24" s="10"/>
      <c r="Q24" s="10"/>
      <c r="R24" s="10"/>
    </row>
    <row r="25" spans="1:18" x14ac:dyDescent="0.3">
      <c r="A25" s="10"/>
      <c r="B25" s="10"/>
      <c r="C25" s="10"/>
      <c r="D25" s="10"/>
      <c r="E25" s="10"/>
      <c r="F25" s="10"/>
      <c r="G25" s="10"/>
      <c r="H25" s="10"/>
      <c r="I25" s="10"/>
      <c r="J25" s="10"/>
      <c r="K25" s="10"/>
      <c r="L25" s="10"/>
      <c r="M25" s="10"/>
      <c r="N25" s="10"/>
      <c r="O25" s="10"/>
      <c r="P25" s="10"/>
      <c r="Q25" s="10"/>
      <c r="R25" s="10"/>
    </row>
    <row r="26" spans="1:18" x14ac:dyDescent="0.3">
      <c r="A26" s="10"/>
      <c r="B26" s="10"/>
      <c r="C26" s="10"/>
      <c r="D26" s="10"/>
      <c r="E26" s="10"/>
      <c r="F26" s="10"/>
      <c r="G26" s="10"/>
      <c r="H26" s="10"/>
      <c r="I26" s="10"/>
      <c r="J26" s="10"/>
      <c r="K26" s="10"/>
      <c r="L26" s="10"/>
      <c r="M26" s="10"/>
      <c r="N26" s="10"/>
      <c r="O26" s="10"/>
      <c r="P26" s="10"/>
      <c r="Q26" s="10"/>
      <c r="R26" s="10"/>
    </row>
    <row r="27" spans="1:18" x14ac:dyDescent="0.3">
      <c r="A27" s="10"/>
      <c r="B27" s="10"/>
      <c r="C27" s="10"/>
      <c r="D27" s="10"/>
      <c r="E27" s="10"/>
      <c r="F27" s="10"/>
      <c r="G27" s="10"/>
      <c r="H27" s="10"/>
      <c r="I27" s="10"/>
      <c r="J27" s="10"/>
      <c r="K27" s="10"/>
      <c r="L27" s="10"/>
      <c r="M27" s="10"/>
      <c r="N27" s="10"/>
      <c r="O27" s="10"/>
      <c r="P27" s="10"/>
      <c r="Q27" s="10"/>
      <c r="R27" s="10"/>
    </row>
    <row r="28" spans="1:18" x14ac:dyDescent="0.3">
      <c r="A28" s="10"/>
      <c r="B28" s="10"/>
      <c r="C28" s="10"/>
      <c r="D28" s="10"/>
      <c r="E28" s="10"/>
      <c r="F28" s="10"/>
      <c r="G28" s="10"/>
      <c r="H28" s="10"/>
      <c r="I28" s="10"/>
      <c r="J28" s="10"/>
      <c r="K28" s="10"/>
      <c r="L28" s="10"/>
      <c r="M28" s="10"/>
      <c r="N28" s="10"/>
      <c r="O28" s="10"/>
      <c r="P28" s="10"/>
      <c r="Q28" s="10"/>
      <c r="R28" s="10"/>
    </row>
    <row r="29" spans="1:18" x14ac:dyDescent="0.3">
      <c r="A29" s="10"/>
      <c r="B29" s="10"/>
      <c r="C29" s="10"/>
      <c r="D29" s="10"/>
      <c r="E29" s="10"/>
      <c r="F29" s="10"/>
      <c r="G29" s="10"/>
      <c r="H29" s="10"/>
      <c r="I29" s="10"/>
      <c r="J29" s="10"/>
      <c r="K29" s="10"/>
      <c r="L29" s="10"/>
      <c r="M29" s="10"/>
      <c r="N29" s="10"/>
      <c r="O29" s="10"/>
      <c r="P29" s="10"/>
      <c r="Q29" s="10"/>
      <c r="R29" s="10"/>
    </row>
    <row r="30" spans="1:18" x14ac:dyDescent="0.3">
      <c r="A30" s="10"/>
      <c r="B30" s="10"/>
      <c r="C30" s="10"/>
      <c r="D30" s="10"/>
      <c r="E30" s="10"/>
      <c r="F30" s="10"/>
      <c r="G30" s="10"/>
      <c r="H30" s="10"/>
      <c r="I30" s="10"/>
      <c r="J30" s="10"/>
      <c r="K30" s="10"/>
      <c r="L30" s="10"/>
      <c r="M30" s="10"/>
      <c r="N30" s="10"/>
      <c r="O30" s="10"/>
      <c r="P30" s="10"/>
      <c r="Q30" s="10"/>
      <c r="R30" s="10"/>
    </row>
  </sheetData>
  <pageMargins left="0.7" right="0.7" top="0.75" bottom="0.75" header="0.3" footer="0.3"/>
  <pageSetup paperSize="9" orientation="portrait" horizontalDpi="1200" verticalDpi="1200" r:id="rId5"/>
  <drawing r:id="rId6"/>
  <legacyDrawing r:id="rId7"/>
  <mc:AlternateContent xmlns:mc="http://schemas.openxmlformats.org/markup-compatibility/2006">
    <mc:Choice Requires="x14">
      <controls>
        <mc:AlternateContent xmlns:mc="http://schemas.openxmlformats.org/markup-compatibility/2006">
          <mc:Choice Requires="x14">
            <control shapeId="4098" r:id="rId8" name="Check Box 2">
              <controlPr defaultSize="0" autoFill="0" autoLine="0" autoPict="0" macro="[0]!SlicerConnections">
                <anchor moveWithCells="1">
                  <from>
                    <xdr:col>0</xdr:col>
                    <xdr:colOff>556260</xdr:colOff>
                    <xdr:row>1</xdr:row>
                    <xdr:rowOff>137160</xdr:rowOff>
                  </from>
                  <to>
                    <xdr:col>0</xdr:col>
                    <xdr:colOff>1310640</xdr:colOff>
                    <xdr:row>1</xdr:row>
                    <xdr:rowOff>358140</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ions">
                <anchor moveWithCells="1">
                  <from>
                    <xdr:col>3</xdr:col>
                    <xdr:colOff>563880</xdr:colOff>
                    <xdr:row>1</xdr:row>
                    <xdr:rowOff>144780</xdr:rowOff>
                  </from>
                  <to>
                    <xdr:col>3</xdr:col>
                    <xdr:colOff>1318260</xdr:colOff>
                    <xdr:row>1</xdr:row>
                    <xdr:rowOff>365760</xdr:rowOff>
                  </to>
                </anchor>
              </controlPr>
            </control>
          </mc:Choice>
        </mc:AlternateContent>
        <mc:AlternateContent xmlns:mc="http://schemas.openxmlformats.org/markup-compatibility/2006">
          <mc:Choice Requires="x14">
            <control shapeId="4100" r:id="rId10" name="Check Box 4">
              <controlPr defaultSize="0" autoFill="0" autoLine="0" autoPict="0" macro="[0]!SlicerConnections">
                <anchor moveWithCells="1">
                  <from>
                    <xdr:col>6</xdr:col>
                    <xdr:colOff>655320</xdr:colOff>
                    <xdr:row>1</xdr:row>
                    <xdr:rowOff>152400</xdr:rowOff>
                  </from>
                  <to>
                    <xdr:col>6</xdr:col>
                    <xdr:colOff>1386840</xdr:colOff>
                    <xdr:row>1</xdr:row>
                    <xdr:rowOff>373380</xdr:rowOff>
                  </to>
                </anchor>
              </controlPr>
            </control>
          </mc:Choice>
        </mc:AlternateContent>
        <mc:AlternateContent xmlns:mc="http://schemas.openxmlformats.org/markup-compatibility/2006">
          <mc:Choice Requires="x14">
            <control shapeId="4101" r:id="rId11" name="Check Box 5">
              <controlPr defaultSize="0" autoFill="0" autoLine="0" autoPict="0" macro="[0]!SlicerConnections">
                <anchor moveWithCells="1">
                  <from>
                    <xdr:col>9</xdr:col>
                    <xdr:colOff>678180</xdr:colOff>
                    <xdr:row>1</xdr:row>
                    <xdr:rowOff>129540</xdr:rowOff>
                  </from>
                  <to>
                    <xdr:col>9</xdr:col>
                    <xdr:colOff>1379220</xdr:colOff>
                    <xdr:row>1</xdr:row>
                    <xdr:rowOff>350520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789A9-B3E1-4D30-99A1-4001E93C2CCD}">
  <sheetPr codeName="Sheet3"/>
  <dimension ref="A1:M150"/>
  <sheetViews>
    <sheetView workbookViewId="0">
      <selection activeCell="E15" sqref="E15"/>
    </sheetView>
  </sheetViews>
  <sheetFormatPr defaultRowHeight="14.4" x14ac:dyDescent="0.3"/>
  <cols>
    <col min="1" max="1" width="9.77734375" bestFit="1" customWidth="1"/>
    <col min="2" max="2" width="18.6640625" bestFit="1" customWidth="1"/>
    <col min="3" max="3" width="12" bestFit="1" customWidth="1"/>
    <col min="9" max="9" width="12" bestFit="1" customWidth="1"/>
    <col min="11" max="11" width="12.6640625" bestFit="1" customWidth="1"/>
    <col min="12" max="12" width="19" bestFit="1" customWidth="1"/>
  </cols>
  <sheetData>
    <row r="1" spans="1:13" x14ac:dyDescent="0.3">
      <c r="A1" s="1" t="s">
        <v>317</v>
      </c>
      <c r="B1" s="1" t="s">
        <v>149</v>
      </c>
      <c r="C1" s="1" t="s">
        <v>299</v>
      </c>
      <c r="D1" s="1" t="s">
        <v>308</v>
      </c>
      <c r="E1" s="1" t="s">
        <v>309</v>
      </c>
      <c r="F1" s="1" t="s">
        <v>310</v>
      </c>
      <c r="G1" s="1" t="s">
        <v>311</v>
      </c>
      <c r="H1" s="1" t="s">
        <v>312</v>
      </c>
      <c r="I1" s="1" t="s">
        <v>313</v>
      </c>
      <c r="J1" s="1" t="s">
        <v>314</v>
      </c>
      <c r="K1" s="1" t="s">
        <v>315</v>
      </c>
      <c r="L1" s="1" t="s">
        <v>316</v>
      </c>
    </row>
    <row r="2" spans="1:13" x14ac:dyDescent="0.3">
      <c r="A2" t="s">
        <v>0</v>
      </c>
      <c r="B2" t="s">
        <v>150</v>
      </c>
      <c r="C2" t="s">
        <v>300</v>
      </c>
      <c r="D2" s="5">
        <v>40</v>
      </c>
      <c r="E2" s="5">
        <v>60</v>
      </c>
      <c r="F2" s="5">
        <v>67</v>
      </c>
      <c r="G2" s="5">
        <v>56</v>
      </c>
      <c r="H2" s="5">
        <v>89</v>
      </c>
      <c r="I2" s="5">
        <f>SUM(D2:H2)</f>
        <v>312</v>
      </c>
      <c r="J2" s="5">
        <v>500</v>
      </c>
      <c r="K2" s="4">
        <f>I2/J2</f>
        <v>0.624</v>
      </c>
      <c r="L2" s="3">
        <f>100%-K2</f>
        <v>0.376</v>
      </c>
    </row>
    <row r="3" spans="1:13" x14ac:dyDescent="0.3">
      <c r="A3" t="s">
        <v>1</v>
      </c>
      <c r="B3" t="s">
        <v>151</v>
      </c>
      <c r="C3" t="s">
        <v>301</v>
      </c>
      <c r="D3" s="5">
        <v>65</v>
      </c>
      <c r="E3" s="5">
        <v>35</v>
      </c>
      <c r="F3" s="5">
        <v>46</v>
      </c>
      <c r="G3" s="5">
        <v>87</v>
      </c>
      <c r="H3" s="5">
        <v>78</v>
      </c>
      <c r="I3" s="5">
        <f t="shared" ref="I3:I66" si="0">SUM(D3:H3)</f>
        <v>311</v>
      </c>
      <c r="J3" s="5">
        <v>500</v>
      </c>
      <c r="K3" s="4">
        <f t="shared" ref="K3:K66" si="1">I3/J3</f>
        <v>0.622</v>
      </c>
      <c r="L3" s="3">
        <f t="shared" ref="L3:L66" si="2">100%-K3</f>
        <v>0.378</v>
      </c>
    </row>
    <row r="4" spans="1:13" x14ac:dyDescent="0.3">
      <c r="A4" t="s">
        <v>2</v>
      </c>
      <c r="B4" t="s">
        <v>152</v>
      </c>
      <c r="C4" t="s">
        <v>300</v>
      </c>
      <c r="D4" s="5">
        <v>56</v>
      </c>
      <c r="E4" s="5">
        <v>57</v>
      </c>
      <c r="F4" s="5">
        <v>23</v>
      </c>
      <c r="G4" s="5">
        <v>89</v>
      </c>
      <c r="H4" s="5">
        <v>41</v>
      </c>
      <c r="I4" s="5">
        <f t="shared" si="0"/>
        <v>266</v>
      </c>
      <c r="J4" s="5">
        <v>500</v>
      </c>
      <c r="K4" s="4">
        <f t="shared" si="1"/>
        <v>0.53200000000000003</v>
      </c>
      <c r="L4" s="3">
        <f t="shared" si="2"/>
        <v>0.46799999999999997</v>
      </c>
    </row>
    <row r="5" spans="1:13" x14ac:dyDescent="0.3">
      <c r="A5" t="s">
        <v>3</v>
      </c>
      <c r="B5" t="s">
        <v>153</v>
      </c>
      <c r="C5" t="s">
        <v>301</v>
      </c>
      <c r="D5" s="5">
        <v>43</v>
      </c>
      <c r="E5" s="5">
        <v>79</v>
      </c>
      <c r="F5" s="5">
        <v>66</v>
      </c>
      <c r="G5" s="5">
        <v>78</v>
      </c>
      <c r="H5" s="5">
        <v>45</v>
      </c>
      <c r="I5" s="5">
        <f t="shared" si="0"/>
        <v>311</v>
      </c>
      <c r="J5" s="5">
        <v>500</v>
      </c>
      <c r="K5" s="4">
        <f t="shared" si="1"/>
        <v>0.622</v>
      </c>
      <c r="L5" s="3">
        <f t="shared" si="2"/>
        <v>0.378</v>
      </c>
    </row>
    <row r="6" spans="1:13" x14ac:dyDescent="0.3">
      <c r="A6" t="s">
        <v>4</v>
      </c>
      <c r="B6" t="s">
        <v>154</v>
      </c>
      <c r="C6" t="s">
        <v>304</v>
      </c>
      <c r="D6" s="5">
        <v>76</v>
      </c>
      <c r="E6" s="5">
        <v>98</v>
      </c>
      <c r="F6" s="5">
        <v>87</v>
      </c>
      <c r="G6" s="5">
        <v>41</v>
      </c>
      <c r="H6" s="5">
        <v>75</v>
      </c>
      <c r="I6" s="5">
        <f t="shared" si="0"/>
        <v>377</v>
      </c>
      <c r="J6" s="5">
        <v>500</v>
      </c>
      <c r="K6" s="4">
        <f t="shared" si="1"/>
        <v>0.754</v>
      </c>
      <c r="L6" s="3">
        <f t="shared" si="2"/>
        <v>0.246</v>
      </c>
    </row>
    <row r="7" spans="1:13" x14ac:dyDescent="0.3">
      <c r="A7" t="s">
        <v>5</v>
      </c>
      <c r="B7" t="s">
        <v>155</v>
      </c>
      <c r="C7" t="s">
        <v>302</v>
      </c>
      <c r="D7" s="5">
        <v>46</v>
      </c>
      <c r="E7" s="5">
        <v>65</v>
      </c>
      <c r="F7" s="5">
        <v>65</v>
      </c>
      <c r="G7" s="5">
        <v>45</v>
      </c>
      <c r="H7" s="5">
        <v>67</v>
      </c>
      <c r="I7" s="5">
        <f t="shared" si="0"/>
        <v>288</v>
      </c>
      <c r="J7" s="5">
        <v>500</v>
      </c>
      <c r="K7" s="4">
        <f t="shared" si="1"/>
        <v>0.57599999999999996</v>
      </c>
      <c r="L7" s="3">
        <f t="shared" si="2"/>
        <v>0.42400000000000004</v>
      </c>
    </row>
    <row r="8" spans="1:13" x14ac:dyDescent="0.3">
      <c r="A8" t="s">
        <v>6</v>
      </c>
      <c r="B8" t="s">
        <v>156</v>
      </c>
      <c r="C8" t="s">
        <v>303</v>
      </c>
      <c r="D8" s="5">
        <v>47</v>
      </c>
      <c r="E8" s="5">
        <v>56</v>
      </c>
      <c r="F8" s="5">
        <v>78</v>
      </c>
      <c r="G8" s="5">
        <v>75</v>
      </c>
      <c r="H8" s="5">
        <v>78</v>
      </c>
      <c r="I8" s="5">
        <f t="shared" si="0"/>
        <v>334</v>
      </c>
      <c r="J8" s="5">
        <v>500</v>
      </c>
      <c r="K8" s="4">
        <f t="shared" si="1"/>
        <v>0.66800000000000004</v>
      </c>
      <c r="L8" s="3">
        <f t="shared" si="2"/>
        <v>0.33199999999999996</v>
      </c>
    </row>
    <row r="9" spans="1:13" x14ac:dyDescent="0.3">
      <c r="A9" t="s">
        <v>7</v>
      </c>
      <c r="B9" t="s">
        <v>157</v>
      </c>
      <c r="C9" t="s">
        <v>300</v>
      </c>
      <c r="D9" s="5">
        <v>68</v>
      </c>
      <c r="E9" s="5">
        <v>87</v>
      </c>
      <c r="F9" s="5">
        <v>54</v>
      </c>
      <c r="G9" s="5">
        <v>67</v>
      </c>
      <c r="H9" s="5">
        <v>46</v>
      </c>
      <c r="I9" s="5">
        <f t="shared" si="0"/>
        <v>322</v>
      </c>
      <c r="J9" s="5">
        <v>500</v>
      </c>
      <c r="K9" s="4">
        <f t="shared" si="1"/>
        <v>0.64400000000000002</v>
      </c>
      <c r="L9" s="3">
        <f t="shared" si="2"/>
        <v>0.35599999999999998</v>
      </c>
    </row>
    <row r="10" spans="1:13" x14ac:dyDescent="0.3">
      <c r="A10" t="s">
        <v>8</v>
      </c>
      <c r="B10" t="s">
        <v>158</v>
      </c>
      <c r="C10" t="s">
        <v>301</v>
      </c>
      <c r="D10" s="5">
        <v>67</v>
      </c>
      <c r="E10" s="5">
        <v>89</v>
      </c>
      <c r="F10" s="5">
        <v>68</v>
      </c>
      <c r="G10" s="5">
        <v>78</v>
      </c>
      <c r="H10" s="5">
        <v>87</v>
      </c>
      <c r="I10" s="5">
        <f t="shared" si="0"/>
        <v>389</v>
      </c>
      <c r="J10" s="5">
        <v>500</v>
      </c>
      <c r="K10" s="4">
        <f t="shared" si="1"/>
        <v>0.77800000000000002</v>
      </c>
      <c r="L10" s="3">
        <f t="shared" si="2"/>
        <v>0.22199999999999998</v>
      </c>
      <c r="M10" s="2"/>
    </row>
    <row r="11" spans="1:13" x14ac:dyDescent="0.3">
      <c r="A11" t="s">
        <v>9</v>
      </c>
      <c r="B11" t="s">
        <v>159</v>
      </c>
      <c r="C11" t="s">
        <v>301</v>
      </c>
      <c r="D11" s="5">
        <v>46</v>
      </c>
      <c r="E11" s="5">
        <v>78</v>
      </c>
      <c r="F11" s="5">
        <v>42</v>
      </c>
      <c r="G11" s="5">
        <v>46</v>
      </c>
      <c r="H11" s="5">
        <v>65</v>
      </c>
      <c r="I11" s="5">
        <f t="shared" si="0"/>
        <v>277</v>
      </c>
      <c r="J11" s="5">
        <v>500</v>
      </c>
      <c r="K11" s="4">
        <f t="shared" si="1"/>
        <v>0.55400000000000005</v>
      </c>
      <c r="L11" s="3">
        <f t="shared" si="2"/>
        <v>0.44599999999999995</v>
      </c>
    </row>
    <row r="12" spans="1:13" x14ac:dyDescent="0.3">
      <c r="A12" t="s">
        <v>10</v>
      </c>
      <c r="B12" t="s">
        <v>160</v>
      </c>
      <c r="C12" t="s">
        <v>300</v>
      </c>
      <c r="D12" s="5">
        <v>23</v>
      </c>
      <c r="E12" s="5">
        <v>41</v>
      </c>
      <c r="F12" s="5">
        <v>45</v>
      </c>
      <c r="G12" s="5">
        <v>87</v>
      </c>
      <c r="H12" s="5">
        <v>76</v>
      </c>
      <c r="I12" s="5">
        <f t="shared" si="0"/>
        <v>272</v>
      </c>
      <c r="J12" s="5">
        <v>500</v>
      </c>
      <c r="K12" s="4">
        <f t="shared" si="1"/>
        <v>0.54400000000000004</v>
      </c>
      <c r="L12" s="3">
        <f t="shared" si="2"/>
        <v>0.45599999999999996</v>
      </c>
    </row>
    <row r="13" spans="1:13" x14ac:dyDescent="0.3">
      <c r="A13" t="s">
        <v>11</v>
      </c>
      <c r="B13" t="s">
        <v>161</v>
      </c>
      <c r="C13" t="s">
        <v>301</v>
      </c>
      <c r="D13" s="5">
        <v>66</v>
      </c>
      <c r="E13" s="5">
        <v>45</v>
      </c>
      <c r="F13" s="5">
        <v>67</v>
      </c>
      <c r="G13" s="5">
        <v>65</v>
      </c>
      <c r="H13" s="5">
        <v>76</v>
      </c>
      <c r="I13" s="5">
        <f t="shared" si="0"/>
        <v>319</v>
      </c>
      <c r="J13" s="5">
        <v>500</v>
      </c>
      <c r="K13" s="4">
        <f t="shared" si="1"/>
        <v>0.63800000000000001</v>
      </c>
      <c r="L13" s="3">
        <f t="shared" si="2"/>
        <v>0.36199999999999999</v>
      </c>
    </row>
    <row r="14" spans="1:13" x14ac:dyDescent="0.3">
      <c r="A14" t="s">
        <v>12</v>
      </c>
      <c r="B14" t="s">
        <v>162</v>
      </c>
      <c r="C14" t="s">
        <v>302</v>
      </c>
      <c r="D14" s="5">
        <v>87</v>
      </c>
      <c r="E14" s="5">
        <v>70</v>
      </c>
      <c r="F14" s="5">
        <v>78</v>
      </c>
      <c r="G14" s="5">
        <v>76</v>
      </c>
      <c r="H14" s="5">
        <v>56</v>
      </c>
      <c r="I14" s="5">
        <f t="shared" si="0"/>
        <v>367</v>
      </c>
      <c r="J14" s="5">
        <v>500</v>
      </c>
      <c r="K14" s="4">
        <f t="shared" si="1"/>
        <v>0.73399999999999999</v>
      </c>
      <c r="L14" s="3">
        <f t="shared" si="2"/>
        <v>0.26600000000000001</v>
      </c>
    </row>
    <row r="15" spans="1:13" x14ac:dyDescent="0.3">
      <c r="A15" t="s">
        <v>13</v>
      </c>
      <c r="B15" t="s">
        <v>163</v>
      </c>
      <c r="C15" t="s">
        <v>300</v>
      </c>
      <c r="D15" s="5">
        <v>65</v>
      </c>
      <c r="E15" s="5">
        <v>67</v>
      </c>
      <c r="F15" s="5">
        <v>80</v>
      </c>
      <c r="G15" s="5">
        <v>76</v>
      </c>
      <c r="H15" s="5">
        <v>54</v>
      </c>
      <c r="I15" s="5">
        <f t="shared" si="0"/>
        <v>342</v>
      </c>
      <c r="J15" s="5">
        <v>500</v>
      </c>
      <c r="K15" s="4">
        <f t="shared" si="1"/>
        <v>0.68400000000000005</v>
      </c>
      <c r="L15" s="3">
        <f t="shared" si="2"/>
        <v>0.31599999999999995</v>
      </c>
    </row>
    <row r="16" spans="1:13" x14ac:dyDescent="0.3">
      <c r="A16" t="s">
        <v>14</v>
      </c>
      <c r="B16" t="s">
        <v>164</v>
      </c>
      <c r="C16" t="s">
        <v>303</v>
      </c>
      <c r="D16" s="5">
        <v>78</v>
      </c>
      <c r="E16" s="5">
        <v>78</v>
      </c>
      <c r="F16" s="5">
        <v>57</v>
      </c>
      <c r="G16" s="5">
        <v>56</v>
      </c>
      <c r="H16" s="5">
        <v>56</v>
      </c>
      <c r="I16" s="5">
        <f t="shared" si="0"/>
        <v>325</v>
      </c>
      <c r="J16" s="5">
        <v>500</v>
      </c>
      <c r="K16" s="4">
        <f t="shared" si="1"/>
        <v>0.65</v>
      </c>
      <c r="L16" s="3">
        <f t="shared" si="2"/>
        <v>0.35</v>
      </c>
    </row>
    <row r="17" spans="1:12" x14ac:dyDescent="0.3">
      <c r="A17" t="s">
        <v>15</v>
      </c>
      <c r="B17" t="s">
        <v>165</v>
      </c>
      <c r="C17" t="s">
        <v>304</v>
      </c>
      <c r="D17" s="5">
        <v>54</v>
      </c>
      <c r="E17" s="5">
        <v>46</v>
      </c>
      <c r="F17" s="5">
        <v>78</v>
      </c>
      <c r="G17" s="5">
        <v>54</v>
      </c>
      <c r="H17" s="5">
        <v>54</v>
      </c>
      <c r="I17" s="5">
        <f t="shared" si="0"/>
        <v>286</v>
      </c>
      <c r="J17" s="5">
        <v>500</v>
      </c>
      <c r="K17" s="4">
        <f t="shared" si="1"/>
        <v>0.57199999999999995</v>
      </c>
      <c r="L17" s="3">
        <f t="shared" si="2"/>
        <v>0.42800000000000005</v>
      </c>
    </row>
    <row r="18" spans="1:12" x14ac:dyDescent="0.3">
      <c r="A18" t="s">
        <v>16</v>
      </c>
      <c r="B18" t="s">
        <v>166</v>
      </c>
      <c r="C18" t="s">
        <v>305</v>
      </c>
      <c r="D18" s="5">
        <v>68</v>
      </c>
      <c r="E18" s="5">
        <v>87</v>
      </c>
      <c r="F18" s="5">
        <v>41</v>
      </c>
      <c r="G18" s="5">
        <v>56</v>
      </c>
      <c r="H18" s="5">
        <v>43</v>
      </c>
      <c r="I18" s="5">
        <f t="shared" si="0"/>
        <v>295</v>
      </c>
      <c r="J18" s="5">
        <v>500</v>
      </c>
      <c r="K18" s="4">
        <f t="shared" si="1"/>
        <v>0.59</v>
      </c>
      <c r="L18" s="3">
        <f t="shared" si="2"/>
        <v>0.41000000000000003</v>
      </c>
    </row>
    <row r="19" spans="1:12" x14ac:dyDescent="0.3">
      <c r="A19" t="s">
        <v>17</v>
      </c>
      <c r="B19" t="s">
        <v>167</v>
      </c>
      <c r="C19" t="s">
        <v>306</v>
      </c>
      <c r="D19" s="5">
        <v>42</v>
      </c>
      <c r="E19" s="5">
        <v>65</v>
      </c>
      <c r="F19" s="5">
        <v>45</v>
      </c>
      <c r="G19" s="5">
        <v>54</v>
      </c>
      <c r="H19" s="5">
        <v>76</v>
      </c>
      <c r="I19" s="5">
        <f t="shared" si="0"/>
        <v>282</v>
      </c>
      <c r="J19" s="5">
        <v>500</v>
      </c>
      <c r="K19" s="4">
        <f t="shared" si="1"/>
        <v>0.56399999999999995</v>
      </c>
      <c r="L19" s="3">
        <f t="shared" si="2"/>
        <v>0.43600000000000005</v>
      </c>
    </row>
    <row r="20" spans="1:12" x14ac:dyDescent="0.3">
      <c r="A20" t="s">
        <v>18</v>
      </c>
      <c r="B20" t="s">
        <v>168</v>
      </c>
      <c r="C20" t="s">
        <v>307</v>
      </c>
      <c r="D20" s="5">
        <v>45</v>
      </c>
      <c r="E20" s="5">
        <v>76</v>
      </c>
      <c r="F20" s="5">
        <v>75</v>
      </c>
      <c r="G20" s="5">
        <v>43</v>
      </c>
      <c r="H20" s="5">
        <v>45</v>
      </c>
      <c r="I20" s="5">
        <f t="shared" si="0"/>
        <v>284</v>
      </c>
      <c r="J20" s="5">
        <v>500</v>
      </c>
      <c r="K20" s="4">
        <f t="shared" si="1"/>
        <v>0.56799999999999995</v>
      </c>
      <c r="L20" s="3">
        <f t="shared" si="2"/>
        <v>0.43200000000000005</v>
      </c>
    </row>
    <row r="21" spans="1:12" x14ac:dyDescent="0.3">
      <c r="A21" t="s">
        <v>19</v>
      </c>
      <c r="B21" t="s">
        <v>169</v>
      </c>
      <c r="C21" t="s">
        <v>300</v>
      </c>
      <c r="D21" s="5">
        <v>67</v>
      </c>
      <c r="E21" s="5">
        <v>76</v>
      </c>
      <c r="F21" s="5">
        <v>67</v>
      </c>
      <c r="G21" s="5">
        <v>76</v>
      </c>
      <c r="H21" s="5">
        <v>86</v>
      </c>
      <c r="I21" s="5">
        <f t="shared" si="0"/>
        <v>372</v>
      </c>
      <c r="J21" s="5">
        <v>500</v>
      </c>
      <c r="K21" s="4">
        <f t="shared" si="1"/>
        <v>0.74399999999999999</v>
      </c>
      <c r="L21" s="3">
        <f t="shared" si="2"/>
        <v>0.25600000000000001</v>
      </c>
    </row>
    <row r="22" spans="1:12" x14ac:dyDescent="0.3">
      <c r="A22" t="s">
        <v>20</v>
      </c>
      <c r="B22" t="s">
        <v>170</v>
      </c>
      <c r="C22" t="s">
        <v>301</v>
      </c>
      <c r="D22" s="5">
        <v>78</v>
      </c>
      <c r="E22" s="5">
        <v>56</v>
      </c>
      <c r="F22" s="5">
        <v>78</v>
      </c>
      <c r="G22" s="5">
        <v>45</v>
      </c>
      <c r="H22" s="5">
        <v>56</v>
      </c>
      <c r="I22" s="5">
        <f t="shared" si="0"/>
        <v>313</v>
      </c>
      <c r="J22" s="5">
        <v>500</v>
      </c>
      <c r="K22" s="4">
        <f t="shared" si="1"/>
        <v>0.626</v>
      </c>
      <c r="L22" s="3">
        <f t="shared" si="2"/>
        <v>0.374</v>
      </c>
    </row>
    <row r="23" spans="1:12" x14ac:dyDescent="0.3">
      <c r="A23" t="s">
        <v>21</v>
      </c>
      <c r="B23" t="s">
        <v>171</v>
      </c>
      <c r="C23" t="s">
        <v>300</v>
      </c>
      <c r="D23" s="5">
        <v>80</v>
      </c>
      <c r="E23" s="5">
        <v>54</v>
      </c>
      <c r="F23" s="5">
        <v>46</v>
      </c>
      <c r="G23" s="5">
        <v>86</v>
      </c>
      <c r="H23" s="5">
        <v>67</v>
      </c>
      <c r="I23" s="5">
        <f t="shared" si="0"/>
        <v>333</v>
      </c>
      <c r="J23" s="5">
        <v>500</v>
      </c>
      <c r="K23" s="4">
        <f t="shared" si="1"/>
        <v>0.66600000000000004</v>
      </c>
      <c r="L23" s="3">
        <f t="shared" si="2"/>
        <v>0.33399999999999996</v>
      </c>
    </row>
    <row r="24" spans="1:12" x14ac:dyDescent="0.3">
      <c r="A24" t="s">
        <v>22</v>
      </c>
      <c r="B24" t="s">
        <v>172</v>
      </c>
      <c r="C24" t="s">
        <v>301</v>
      </c>
      <c r="D24" s="5">
        <v>57</v>
      </c>
      <c r="E24" s="5">
        <v>56</v>
      </c>
      <c r="F24" s="5">
        <v>87</v>
      </c>
      <c r="G24" s="5">
        <v>56</v>
      </c>
      <c r="H24" s="5">
        <v>45</v>
      </c>
      <c r="I24" s="5">
        <f t="shared" si="0"/>
        <v>301</v>
      </c>
      <c r="J24" s="5">
        <v>500</v>
      </c>
      <c r="K24" s="4">
        <f t="shared" si="1"/>
        <v>0.60199999999999998</v>
      </c>
      <c r="L24" s="3">
        <f t="shared" si="2"/>
        <v>0.39800000000000002</v>
      </c>
    </row>
    <row r="25" spans="1:12" x14ac:dyDescent="0.3">
      <c r="A25" t="s">
        <v>23</v>
      </c>
      <c r="B25" t="s">
        <v>173</v>
      </c>
      <c r="C25" t="s">
        <v>304</v>
      </c>
      <c r="D25" s="5">
        <v>54</v>
      </c>
      <c r="E25" s="5">
        <v>54</v>
      </c>
      <c r="F25" s="5">
        <v>65</v>
      </c>
      <c r="G25" s="5">
        <v>67</v>
      </c>
      <c r="H25" s="5">
        <v>54</v>
      </c>
      <c r="I25" s="5">
        <f t="shared" si="0"/>
        <v>294</v>
      </c>
      <c r="J25" s="5">
        <v>500</v>
      </c>
      <c r="K25" s="4">
        <f t="shared" si="1"/>
        <v>0.58799999999999997</v>
      </c>
      <c r="L25" s="3">
        <f t="shared" si="2"/>
        <v>0.41200000000000003</v>
      </c>
    </row>
    <row r="26" spans="1:12" x14ac:dyDescent="0.3">
      <c r="A26" t="s">
        <v>24</v>
      </c>
      <c r="B26" t="s">
        <v>174</v>
      </c>
      <c r="C26" t="s">
        <v>302</v>
      </c>
      <c r="D26" s="5">
        <v>60</v>
      </c>
      <c r="E26" s="5">
        <v>43</v>
      </c>
      <c r="F26" s="5">
        <v>76</v>
      </c>
      <c r="G26" s="5">
        <v>45</v>
      </c>
      <c r="H26" s="5">
        <v>76</v>
      </c>
      <c r="I26" s="5">
        <f t="shared" si="0"/>
        <v>300</v>
      </c>
      <c r="J26" s="5">
        <v>500</v>
      </c>
      <c r="K26" s="4">
        <f t="shared" si="1"/>
        <v>0.6</v>
      </c>
      <c r="L26" s="3">
        <f t="shared" si="2"/>
        <v>0.4</v>
      </c>
    </row>
    <row r="27" spans="1:12" x14ac:dyDescent="0.3">
      <c r="A27" t="s">
        <v>25</v>
      </c>
      <c r="B27" t="s">
        <v>175</v>
      </c>
      <c r="C27" t="s">
        <v>303</v>
      </c>
      <c r="D27" s="5">
        <v>35</v>
      </c>
      <c r="E27" s="5">
        <v>76</v>
      </c>
      <c r="F27" s="5">
        <v>76</v>
      </c>
      <c r="G27" s="5">
        <v>54</v>
      </c>
      <c r="H27" s="5">
        <v>46</v>
      </c>
      <c r="I27" s="5">
        <f t="shared" si="0"/>
        <v>287</v>
      </c>
      <c r="J27" s="5">
        <v>500</v>
      </c>
      <c r="K27" s="4">
        <f t="shared" si="1"/>
        <v>0.57399999999999995</v>
      </c>
      <c r="L27" s="3">
        <f t="shared" si="2"/>
        <v>0.42600000000000005</v>
      </c>
    </row>
    <row r="28" spans="1:12" x14ac:dyDescent="0.3">
      <c r="A28" t="s">
        <v>26</v>
      </c>
      <c r="B28" t="s">
        <v>176</v>
      </c>
      <c r="C28" t="s">
        <v>300</v>
      </c>
      <c r="D28" s="5">
        <v>57</v>
      </c>
      <c r="E28" s="5">
        <v>45</v>
      </c>
      <c r="F28" s="5">
        <v>56</v>
      </c>
      <c r="G28" s="5">
        <v>76</v>
      </c>
      <c r="H28" s="5">
        <v>35</v>
      </c>
      <c r="I28" s="5">
        <f t="shared" si="0"/>
        <v>269</v>
      </c>
      <c r="J28" s="5">
        <v>500</v>
      </c>
      <c r="K28" s="4">
        <f t="shared" si="1"/>
        <v>0.53800000000000003</v>
      </c>
      <c r="L28" s="3">
        <f t="shared" si="2"/>
        <v>0.46199999999999997</v>
      </c>
    </row>
    <row r="29" spans="1:12" x14ac:dyDescent="0.3">
      <c r="A29" t="s">
        <v>27</v>
      </c>
      <c r="B29" t="s">
        <v>177</v>
      </c>
      <c r="C29" t="s">
        <v>303</v>
      </c>
      <c r="D29" s="5">
        <v>79</v>
      </c>
      <c r="E29" s="5">
        <v>86</v>
      </c>
      <c r="F29" s="5">
        <v>54</v>
      </c>
      <c r="G29" s="5">
        <v>46</v>
      </c>
      <c r="H29" s="5">
        <v>34</v>
      </c>
      <c r="I29" s="5">
        <f t="shared" si="0"/>
        <v>299</v>
      </c>
      <c r="J29" s="5">
        <v>500</v>
      </c>
      <c r="K29" s="4">
        <f t="shared" si="1"/>
        <v>0.59799999999999998</v>
      </c>
      <c r="L29" s="3">
        <f t="shared" si="2"/>
        <v>0.40200000000000002</v>
      </c>
    </row>
    <row r="30" spans="1:12" x14ac:dyDescent="0.3">
      <c r="A30" t="s">
        <v>28</v>
      </c>
      <c r="B30" t="s">
        <v>178</v>
      </c>
      <c r="C30" t="s">
        <v>301</v>
      </c>
      <c r="D30" s="5">
        <v>98</v>
      </c>
      <c r="E30" s="5">
        <v>56</v>
      </c>
      <c r="F30" s="5">
        <v>56</v>
      </c>
      <c r="G30" s="5">
        <v>35</v>
      </c>
      <c r="H30" s="5">
        <v>67</v>
      </c>
      <c r="I30" s="5">
        <f t="shared" si="0"/>
        <v>312</v>
      </c>
      <c r="J30" s="5">
        <v>500</v>
      </c>
      <c r="K30" s="4">
        <f t="shared" si="1"/>
        <v>0.624</v>
      </c>
      <c r="L30" s="3">
        <f t="shared" si="2"/>
        <v>0.376</v>
      </c>
    </row>
    <row r="31" spans="1:12" x14ac:dyDescent="0.3">
      <c r="A31" t="s">
        <v>29</v>
      </c>
      <c r="B31" t="s">
        <v>179</v>
      </c>
      <c r="C31" t="s">
        <v>300</v>
      </c>
      <c r="D31" s="5">
        <v>65</v>
      </c>
      <c r="E31" s="5">
        <v>67</v>
      </c>
      <c r="F31" s="5">
        <v>54</v>
      </c>
      <c r="G31" s="5">
        <v>34</v>
      </c>
      <c r="H31" s="5">
        <v>46</v>
      </c>
      <c r="I31" s="5">
        <f t="shared" si="0"/>
        <v>266</v>
      </c>
      <c r="J31" s="5">
        <v>500</v>
      </c>
      <c r="K31" s="4">
        <f t="shared" si="1"/>
        <v>0.53200000000000003</v>
      </c>
      <c r="L31" s="3">
        <f t="shared" si="2"/>
        <v>0.46799999999999997</v>
      </c>
    </row>
    <row r="32" spans="1:12" x14ac:dyDescent="0.3">
      <c r="A32" t="s">
        <v>30</v>
      </c>
      <c r="B32" t="s">
        <v>180</v>
      </c>
      <c r="C32" t="s">
        <v>301</v>
      </c>
      <c r="D32" s="5">
        <v>56</v>
      </c>
      <c r="E32" s="5">
        <v>45</v>
      </c>
      <c r="F32" s="5">
        <v>43</v>
      </c>
      <c r="G32" s="5">
        <v>78</v>
      </c>
      <c r="H32" s="5">
        <v>23</v>
      </c>
      <c r="I32" s="5">
        <f t="shared" si="0"/>
        <v>245</v>
      </c>
      <c r="J32" s="5">
        <v>500</v>
      </c>
      <c r="K32" s="4">
        <f t="shared" si="1"/>
        <v>0.49</v>
      </c>
      <c r="L32" s="3">
        <f t="shared" si="2"/>
        <v>0.51</v>
      </c>
    </row>
    <row r="33" spans="1:12" x14ac:dyDescent="0.3">
      <c r="A33" t="s">
        <v>31</v>
      </c>
      <c r="B33" t="s">
        <v>181</v>
      </c>
      <c r="C33" t="s">
        <v>307</v>
      </c>
      <c r="D33" s="5">
        <v>87</v>
      </c>
      <c r="E33" s="5">
        <v>54</v>
      </c>
      <c r="F33" s="5">
        <v>76</v>
      </c>
      <c r="G33" s="5">
        <v>56</v>
      </c>
      <c r="H33" s="5">
        <v>66</v>
      </c>
      <c r="I33" s="5">
        <f t="shared" si="0"/>
        <v>339</v>
      </c>
      <c r="J33" s="5">
        <v>500</v>
      </c>
      <c r="K33" s="4">
        <f t="shared" si="1"/>
        <v>0.67800000000000005</v>
      </c>
      <c r="L33" s="3">
        <f t="shared" si="2"/>
        <v>0.32199999999999995</v>
      </c>
    </row>
    <row r="34" spans="1:12" x14ac:dyDescent="0.3">
      <c r="A34" t="s">
        <v>32</v>
      </c>
      <c r="B34" t="s">
        <v>182</v>
      </c>
      <c r="C34" t="s">
        <v>304</v>
      </c>
      <c r="D34" s="5">
        <v>89</v>
      </c>
      <c r="E34" s="5">
        <v>76</v>
      </c>
      <c r="F34" s="5">
        <v>45</v>
      </c>
      <c r="G34" s="5">
        <v>45</v>
      </c>
      <c r="H34" s="5">
        <v>87</v>
      </c>
      <c r="I34" s="5">
        <f t="shared" si="0"/>
        <v>342</v>
      </c>
      <c r="J34" s="5">
        <v>500</v>
      </c>
      <c r="K34" s="4">
        <f t="shared" si="1"/>
        <v>0.68400000000000005</v>
      </c>
      <c r="L34" s="3">
        <f t="shared" si="2"/>
        <v>0.31599999999999995</v>
      </c>
    </row>
    <row r="35" spans="1:12" x14ac:dyDescent="0.3">
      <c r="A35" t="s">
        <v>33</v>
      </c>
      <c r="B35" t="s">
        <v>183</v>
      </c>
      <c r="C35" t="s">
        <v>306</v>
      </c>
      <c r="D35" s="5">
        <v>78</v>
      </c>
      <c r="E35" s="5">
        <v>46</v>
      </c>
      <c r="F35" s="5">
        <v>86</v>
      </c>
      <c r="G35" s="5">
        <v>57</v>
      </c>
      <c r="H35" s="5">
        <v>65</v>
      </c>
      <c r="I35" s="5">
        <f t="shared" si="0"/>
        <v>332</v>
      </c>
      <c r="J35" s="5">
        <v>500</v>
      </c>
      <c r="K35" s="4">
        <f t="shared" si="1"/>
        <v>0.66400000000000003</v>
      </c>
      <c r="L35" s="3">
        <f t="shared" si="2"/>
        <v>0.33599999999999997</v>
      </c>
    </row>
    <row r="36" spans="1:12" x14ac:dyDescent="0.3">
      <c r="A36" t="s">
        <v>34</v>
      </c>
      <c r="B36" t="s">
        <v>184</v>
      </c>
      <c r="C36" t="s">
        <v>304</v>
      </c>
      <c r="D36" s="5">
        <v>41</v>
      </c>
      <c r="E36" s="5">
        <v>35</v>
      </c>
      <c r="F36" s="5">
        <v>56</v>
      </c>
      <c r="G36" s="5">
        <v>45</v>
      </c>
      <c r="H36" s="5">
        <v>78</v>
      </c>
      <c r="I36" s="5">
        <f t="shared" si="0"/>
        <v>255</v>
      </c>
      <c r="J36" s="5">
        <v>500</v>
      </c>
      <c r="K36" s="4">
        <f t="shared" si="1"/>
        <v>0.51</v>
      </c>
      <c r="L36" s="3">
        <f t="shared" si="2"/>
        <v>0.49</v>
      </c>
    </row>
    <row r="37" spans="1:12" x14ac:dyDescent="0.3">
      <c r="A37" t="s">
        <v>35</v>
      </c>
      <c r="B37" t="s">
        <v>185</v>
      </c>
      <c r="C37" t="s">
        <v>305</v>
      </c>
      <c r="D37" s="5">
        <v>45</v>
      </c>
      <c r="E37" s="5">
        <v>34</v>
      </c>
      <c r="F37" s="5">
        <v>67</v>
      </c>
      <c r="G37" s="5">
        <v>53</v>
      </c>
      <c r="H37" s="5">
        <v>54</v>
      </c>
      <c r="I37" s="5">
        <f t="shared" si="0"/>
        <v>253</v>
      </c>
      <c r="J37" s="5">
        <v>500</v>
      </c>
      <c r="K37" s="4">
        <f t="shared" si="1"/>
        <v>0.50600000000000001</v>
      </c>
      <c r="L37" s="3">
        <f t="shared" si="2"/>
        <v>0.49399999999999999</v>
      </c>
    </row>
    <row r="38" spans="1:12" x14ac:dyDescent="0.3">
      <c r="A38" t="s">
        <v>36</v>
      </c>
      <c r="B38" t="s">
        <v>186</v>
      </c>
      <c r="C38" t="s">
        <v>306</v>
      </c>
      <c r="D38" s="5">
        <v>75</v>
      </c>
      <c r="E38" s="5">
        <v>78</v>
      </c>
      <c r="F38" s="5">
        <v>35</v>
      </c>
      <c r="G38" s="5">
        <v>34</v>
      </c>
      <c r="H38" s="5">
        <v>68</v>
      </c>
      <c r="I38" s="5">
        <f t="shared" si="0"/>
        <v>290</v>
      </c>
      <c r="J38" s="5">
        <v>500</v>
      </c>
      <c r="K38" s="4">
        <f t="shared" si="1"/>
        <v>0.57999999999999996</v>
      </c>
      <c r="L38" s="3">
        <f t="shared" si="2"/>
        <v>0.42000000000000004</v>
      </c>
    </row>
    <row r="39" spans="1:12" x14ac:dyDescent="0.3">
      <c r="A39" t="s">
        <v>37</v>
      </c>
      <c r="B39" t="s">
        <v>187</v>
      </c>
      <c r="C39" t="s">
        <v>307</v>
      </c>
      <c r="D39" s="5">
        <v>67</v>
      </c>
      <c r="E39" s="5">
        <v>56</v>
      </c>
      <c r="F39" s="5">
        <v>43</v>
      </c>
      <c r="G39" s="5">
        <v>46</v>
      </c>
      <c r="H39" s="5">
        <v>42</v>
      </c>
      <c r="I39" s="5">
        <f t="shared" si="0"/>
        <v>254</v>
      </c>
      <c r="J39" s="5">
        <v>500</v>
      </c>
      <c r="K39" s="4">
        <f t="shared" si="1"/>
        <v>0.50800000000000001</v>
      </c>
      <c r="L39" s="3">
        <f t="shared" si="2"/>
        <v>0.49199999999999999</v>
      </c>
    </row>
    <row r="40" spans="1:12" x14ac:dyDescent="0.3">
      <c r="A40" t="s">
        <v>38</v>
      </c>
      <c r="B40" t="s">
        <v>188</v>
      </c>
      <c r="C40" t="s">
        <v>305</v>
      </c>
      <c r="D40" s="5">
        <v>78</v>
      </c>
      <c r="E40" s="5">
        <v>45</v>
      </c>
      <c r="F40" s="5">
        <v>43</v>
      </c>
      <c r="G40" s="5">
        <v>46</v>
      </c>
      <c r="H40" s="5">
        <v>45</v>
      </c>
      <c r="I40" s="5">
        <f t="shared" si="0"/>
        <v>257</v>
      </c>
      <c r="J40" s="5">
        <v>500</v>
      </c>
      <c r="K40" s="4">
        <f t="shared" si="1"/>
        <v>0.51400000000000001</v>
      </c>
      <c r="L40" s="3">
        <f t="shared" si="2"/>
        <v>0.48599999999999999</v>
      </c>
    </row>
    <row r="41" spans="1:12" x14ac:dyDescent="0.3">
      <c r="A41" t="s">
        <v>39</v>
      </c>
      <c r="B41" t="s">
        <v>189</v>
      </c>
      <c r="C41" t="s">
        <v>301</v>
      </c>
      <c r="D41" s="5">
        <v>46</v>
      </c>
      <c r="E41" s="5">
        <v>57</v>
      </c>
      <c r="F41" s="5">
        <v>45</v>
      </c>
      <c r="G41" s="5">
        <v>76</v>
      </c>
      <c r="H41" s="5">
        <v>67</v>
      </c>
      <c r="I41" s="5">
        <f t="shared" si="0"/>
        <v>291</v>
      </c>
      <c r="J41" s="5">
        <v>500</v>
      </c>
      <c r="K41" s="4">
        <f t="shared" si="1"/>
        <v>0.58199999999999996</v>
      </c>
      <c r="L41" s="3">
        <f t="shared" si="2"/>
        <v>0.41800000000000004</v>
      </c>
    </row>
    <row r="42" spans="1:12" x14ac:dyDescent="0.3">
      <c r="A42" t="s">
        <v>40</v>
      </c>
      <c r="B42" t="s">
        <v>190</v>
      </c>
      <c r="C42" t="s">
        <v>301</v>
      </c>
      <c r="D42" s="5">
        <v>87</v>
      </c>
      <c r="E42" s="5">
        <v>45</v>
      </c>
      <c r="F42" s="5">
        <v>67</v>
      </c>
      <c r="G42" s="5">
        <v>35</v>
      </c>
      <c r="H42" s="5">
        <v>78</v>
      </c>
      <c r="I42" s="5">
        <f t="shared" si="0"/>
        <v>312</v>
      </c>
      <c r="J42" s="5">
        <v>500</v>
      </c>
      <c r="K42" s="4">
        <f t="shared" si="1"/>
        <v>0.624</v>
      </c>
      <c r="L42" s="3">
        <f t="shared" si="2"/>
        <v>0.376</v>
      </c>
    </row>
    <row r="43" spans="1:12" x14ac:dyDescent="0.3">
      <c r="A43" t="s">
        <v>41</v>
      </c>
      <c r="B43" t="s">
        <v>191</v>
      </c>
      <c r="C43" t="s">
        <v>300</v>
      </c>
      <c r="D43" s="5">
        <v>65</v>
      </c>
      <c r="E43" s="5">
        <v>53</v>
      </c>
      <c r="F43" s="5">
        <v>78</v>
      </c>
      <c r="G43" s="5">
        <v>75</v>
      </c>
      <c r="H43" s="5">
        <v>80</v>
      </c>
      <c r="I43" s="5">
        <f t="shared" si="0"/>
        <v>351</v>
      </c>
      <c r="J43" s="5">
        <v>500</v>
      </c>
      <c r="K43" s="4">
        <f t="shared" si="1"/>
        <v>0.70199999999999996</v>
      </c>
      <c r="L43" s="3">
        <f t="shared" si="2"/>
        <v>0.29800000000000004</v>
      </c>
    </row>
    <row r="44" spans="1:12" x14ac:dyDescent="0.3">
      <c r="A44" t="s">
        <v>42</v>
      </c>
      <c r="B44" t="s">
        <v>192</v>
      </c>
      <c r="C44" t="s">
        <v>305</v>
      </c>
      <c r="D44" s="5">
        <v>76</v>
      </c>
      <c r="E44" s="5">
        <v>34</v>
      </c>
      <c r="F44" s="5">
        <v>80</v>
      </c>
      <c r="G44" s="5">
        <v>35</v>
      </c>
      <c r="H44" s="5">
        <v>57</v>
      </c>
      <c r="I44" s="5">
        <f t="shared" si="0"/>
        <v>282</v>
      </c>
      <c r="J44" s="5">
        <v>500</v>
      </c>
      <c r="K44" s="4">
        <f t="shared" si="1"/>
        <v>0.56399999999999995</v>
      </c>
      <c r="L44" s="3">
        <f t="shared" si="2"/>
        <v>0.43600000000000005</v>
      </c>
    </row>
    <row r="45" spans="1:12" x14ac:dyDescent="0.3">
      <c r="A45" t="s">
        <v>43</v>
      </c>
      <c r="B45" t="s">
        <v>193</v>
      </c>
      <c r="C45" t="s">
        <v>301</v>
      </c>
      <c r="D45" s="5">
        <v>76</v>
      </c>
      <c r="E45" s="5">
        <v>46</v>
      </c>
      <c r="F45" s="5">
        <v>57</v>
      </c>
      <c r="G45" s="5">
        <v>67</v>
      </c>
      <c r="H45" s="5">
        <v>54</v>
      </c>
      <c r="I45" s="5">
        <f t="shared" si="0"/>
        <v>300</v>
      </c>
      <c r="J45" s="5">
        <v>500</v>
      </c>
      <c r="K45" s="4">
        <f t="shared" si="1"/>
        <v>0.6</v>
      </c>
      <c r="L45" s="3">
        <f t="shared" si="2"/>
        <v>0.4</v>
      </c>
    </row>
    <row r="46" spans="1:12" x14ac:dyDescent="0.3">
      <c r="A46" t="s">
        <v>44</v>
      </c>
      <c r="B46" t="s">
        <v>194</v>
      </c>
      <c r="C46" t="s">
        <v>300</v>
      </c>
      <c r="D46" s="5">
        <v>56</v>
      </c>
      <c r="E46" s="5">
        <v>46</v>
      </c>
      <c r="F46" s="5">
        <v>54</v>
      </c>
      <c r="G46" s="5">
        <v>55</v>
      </c>
      <c r="H46" s="5">
        <v>60</v>
      </c>
      <c r="I46" s="5">
        <f t="shared" si="0"/>
        <v>271</v>
      </c>
      <c r="J46" s="5">
        <v>500</v>
      </c>
      <c r="K46" s="4">
        <f t="shared" si="1"/>
        <v>0.54200000000000004</v>
      </c>
      <c r="L46" s="3">
        <f t="shared" si="2"/>
        <v>0.45799999999999996</v>
      </c>
    </row>
    <row r="47" spans="1:12" x14ac:dyDescent="0.3">
      <c r="A47" t="s">
        <v>45</v>
      </c>
      <c r="B47" t="s">
        <v>195</v>
      </c>
      <c r="C47" t="s">
        <v>305</v>
      </c>
      <c r="D47" s="5">
        <v>54</v>
      </c>
      <c r="E47" s="5">
        <v>76</v>
      </c>
      <c r="F47" s="5">
        <v>60</v>
      </c>
      <c r="G47" s="5">
        <v>65</v>
      </c>
      <c r="H47" s="5">
        <v>35</v>
      </c>
      <c r="I47" s="5">
        <f t="shared" si="0"/>
        <v>290</v>
      </c>
      <c r="J47" s="5">
        <v>500</v>
      </c>
      <c r="K47" s="4">
        <f t="shared" si="1"/>
        <v>0.57999999999999996</v>
      </c>
      <c r="L47" s="3">
        <f t="shared" si="2"/>
        <v>0.42000000000000004</v>
      </c>
    </row>
    <row r="48" spans="1:12" x14ac:dyDescent="0.3">
      <c r="A48" t="s">
        <v>46</v>
      </c>
      <c r="B48" t="s">
        <v>196</v>
      </c>
      <c r="C48" t="s">
        <v>301</v>
      </c>
      <c r="D48" s="5">
        <v>56</v>
      </c>
      <c r="E48" s="5">
        <v>35</v>
      </c>
      <c r="F48" s="5">
        <v>35</v>
      </c>
      <c r="G48" s="5">
        <v>56</v>
      </c>
      <c r="H48" s="5">
        <v>57</v>
      </c>
      <c r="I48" s="5">
        <f t="shared" si="0"/>
        <v>239</v>
      </c>
      <c r="J48" s="5">
        <v>500</v>
      </c>
      <c r="K48" s="4">
        <f t="shared" si="1"/>
        <v>0.47799999999999998</v>
      </c>
      <c r="L48" s="3">
        <f t="shared" si="2"/>
        <v>0.52200000000000002</v>
      </c>
    </row>
    <row r="49" spans="1:12" x14ac:dyDescent="0.3">
      <c r="A49" t="s">
        <v>47</v>
      </c>
      <c r="B49" t="s">
        <v>197</v>
      </c>
      <c r="C49" t="s">
        <v>301</v>
      </c>
      <c r="D49" s="5">
        <v>54</v>
      </c>
      <c r="E49" s="5">
        <v>75</v>
      </c>
      <c r="F49" s="5">
        <v>57</v>
      </c>
      <c r="G49" s="5">
        <v>43</v>
      </c>
      <c r="H49" s="5">
        <v>79</v>
      </c>
      <c r="I49" s="5">
        <f t="shared" si="0"/>
        <v>308</v>
      </c>
      <c r="J49" s="5">
        <v>500</v>
      </c>
      <c r="K49" s="4">
        <f t="shared" si="1"/>
        <v>0.61599999999999999</v>
      </c>
      <c r="L49" s="3">
        <f t="shared" si="2"/>
        <v>0.38400000000000001</v>
      </c>
    </row>
    <row r="50" spans="1:12" x14ac:dyDescent="0.3">
      <c r="A50" t="s">
        <v>48</v>
      </c>
      <c r="B50" t="s">
        <v>198</v>
      </c>
      <c r="C50" t="s">
        <v>302</v>
      </c>
      <c r="D50" s="5">
        <v>43</v>
      </c>
      <c r="E50" s="5">
        <v>35</v>
      </c>
      <c r="F50" s="5">
        <v>79</v>
      </c>
      <c r="G50" s="5">
        <v>76</v>
      </c>
      <c r="H50" s="5">
        <v>98</v>
      </c>
      <c r="I50" s="5">
        <f t="shared" si="0"/>
        <v>331</v>
      </c>
      <c r="J50" s="5">
        <v>500</v>
      </c>
      <c r="K50" s="4">
        <f t="shared" si="1"/>
        <v>0.66200000000000003</v>
      </c>
      <c r="L50" s="3">
        <f t="shared" si="2"/>
        <v>0.33799999999999997</v>
      </c>
    </row>
    <row r="51" spans="1:12" x14ac:dyDescent="0.3">
      <c r="A51" t="s">
        <v>49</v>
      </c>
      <c r="B51" t="s">
        <v>199</v>
      </c>
      <c r="C51" t="s">
        <v>302</v>
      </c>
      <c r="D51" s="5">
        <v>76</v>
      </c>
      <c r="E51" s="5">
        <v>67</v>
      </c>
      <c r="F51" s="5">
        <v>98</v>
      </c>
      <c r="G51" s="5">
        <v>46</v>
      </c>
      <c r="H51" s="5">
        <v>65</v>
      </c>
      <c r="I51" s="5">
        <f t="shared" si="0"/>
        <v>352</v>
      </c>
      <c r="J51" s="5">
        <v>500</v>
      </c>
      <c r="K51" s="4">
        <f t="shared" si="1"/>
        <v>0.70399999999999996</v>
      </c>
      <c r="L51" s="3">
        <f t="shared" si="2"/>
        <v>0.29600000000000004</v>
      </c>
    </row>
    <row r="52" spans="1:12" x14ac:dyDescent="0.3">
      <c r="A52" t="s">
        <v>50</v>
      </c>
      <c r="B52" t="s">
        <v>200</v>
      </c>
      <c r="C52" t="s">
        <v>300</v>
      </c>
      <c r="D52" s="5">
        <v>45</v>
      </c>
      <c r="E52" s="5">
        <v>55</v>
      </c>
      <c r="F52" s="5">
        <v>65</v>
      </c>
      <c r="G52" s="5">
        <v>47</v>
      </c>
      <c r="H52" s="5">
        <v>56</v>
      </c>
      <c r="I52" s="5">
        <f t="shared" si="0"/>
        <v>268</v>
      </c>
      <c r="J52" s="5">
        <v>500</v>
      </c>
      <c r="K52" s="4">
        <f t="shared" si="1"/>
        <v>0.53600000000000003</v>
      </c>
      <c r="L52" s="3">
        <f t="shared" si="2"/>
        <v>0.46399999999999997</v>
      </c>
    </row>
    <row r="53" spans="1:12" x14ac:dyDescent="0.3">
      <c r="A53" t="s">
        <v>51</v>
      </c>
      <c r="B53" t="s">
        <v>201</v>
      </c>
      <c r="C53" t="s">
        <v>306</v>
      </c>
      <c r="D53" s="5">
        <v>86</v>
      </c>
      <c r="E53" s="5">
        <v>65</v>
      </c>
      <c r="F53" s="5">
        <v>56</v>
      </c>
      <c r="G53" s="5">
        <v>68</v>
      </c>
      <c r="H53" s="5">
        <v>87</v>
      </c>
      <c r="I53" s="5">
        <f t="shared" si="0"/>
        <v>362</v>
      </c>
      <c r="J53" s="5">
        <v>500</v>
      </c>
      <c r="K53" s="4">
        <f t="shared" si="1"/>
        <v>0.72399999999999998</v>
      </c>
      <c r="L53" s="3">
        <f t="shared" si="2"/>
        <v>0.27600000000000002</v>
      </c>
    </row>
    <row r="54" spans="1:12" x14ac:dyDescent="0.3">
      <c r="A54" t="s">
        <v>52</v>
      </c>
      <c r="B54" t="s">
        <v>202</v>
      </c>
      <c r="C54" t="s">
        <v>306</v>
      </c>
      <c r="D54" s="5">
        <v>56</v>
      </c>
      <c r="E54" s="5">
        <v>56</v>
      </c>
      <c r="F54" s="5">
        <v>87</v>
      </c>
      <c r="G54" s="5">
        <v>67</v>
      </c>
      <c r="H54" s="5">
        <v>89</v>
      </c>
      <c r="I54" s="5">
        <f t="shared" si="0"/>
        <v>355</v>
      </c>
      <c r="J54" s="5">
        <v>500</v>
      </c>
      <c r="K54" s="4">
        <f t="shared" si="1"/>
        <v>0.71</v>
      </c>
      <c r="L54" s="3">
        <f t="shared" si="2"/>
        <v>0.29000000000000004</v>
      </c>
    </row>
    <row r="55" spans="1:12" x14ac:dyDescent="0.3">
      <c r="A55" t="s">
        <v>53</v>
      </c>
      <c r="B55" t="s">
        <v>203</v>
      </c>
      <c r="C55" t="s">
        <v>301</v>
      </c>
      <c r="D55" s="5">
        <v>67</v>
      </c>
      <c r="E55" s="5">
        <v>43</v>
      </c>
      <c r="F55" s="5">
        <v>89</v>
      </c>
      <c r="G55" s="5">
        <v>46</v>
      </c>
      <c r="H55" s="5">
        <v>78</v>
      </c>
      <c r="I55" s="5">
        <f t="shared" si="0"/>
        <v>323</v>
      </c>
      <c r="J55" s="5">
        <v>500</v>
      </c>
      <c r="K55" s="4">
        <f t="shared" si="1"/>
        <v>0.64600000000000002</v>
      </c>
      <c r="L55" s="3">
        <f t="shared" si="2"/>
        <v>0.35399999999999998</v>
      </c>
    </row>
    <row r="56" spans="1:12" x14ac:dyDescent="0.3">
      <c r="A56" t="s">
        <v>54</v>
      </c>
      <c r="B56" t="s">
        <v>204</v>
      </c>
      <c r="C56" t="s">
        <v>306</v>
      </c>
      <c r="D56" s="5">
        <v>45</v>
      </c>
      <c r="E56" s="5">
        <v>76</v>
      </c>
      <c r="F56" s="5">
        <v>78</v>
      </c>
      <c r="G56" s="5">
        <v>23</v>
      </c>
      <c r="H56" s="5">
        <v>41</v>
      </c>
      <c r="I56" s="5">
        <f t="shared" si="0"/>
        <v>263</v>
      </c>
      <c r="J56" s="5">
        <v>500</v>
      </c>
      <c r="K56" s="4">
        <f t="shared" si="1"/>
        <v>0.52600000000000002</v>
      </c>
      <c r="L56" s="3">
        <f t="shared" si="2"/>
        <v>0.47399999999999998</v>
      </c>
    </row>
    <row r="57" spans="1:12" x14ac:dyDescent="0.3">
      <c r="A57" t="s">
        <v>55</v>
      </c>
      <c r="B57" t="s">
        <v>205</v>
      </c>
      <c r="C57" t="s">
        <v>307</v>
      </c>
      <c r="D57" s="5">
        <v>54</v>
      </c>
      <c r="E57" s="5">
        <v>46</v>
      </c>
      <c r="F57" s="5">
        <v>41</v>
      </c>
      <c r="G57" s="5">
        <v>66</v>
      </c>
      <c r="H57" s="5">
        <v>45</v>
      </c>
      <c r="I57" s="5">
        <f t="shared" si="0"/>
        <v>252</v>
      </c>
      <c r="J57" s="5">
        <v>500</v>
      </c>
      <c r="K57" s="4">
        <f t="shared" si="1"/>
        <v>0.504</v>
      </c>
      <c r="L57" s="3">
        <f t="shared" si="2"/>
        <v>0.496</v>
      </c>
    </row>
    <row r="58" spans="1:12" x14ac:dyDescent="0.3">
      <c r="A58" t="s">
        <v>56</v>
      </c>
      <c r="B58" t="s">
        <v>206</v>
      </c>
      <c r="C58" t="s">
        <v>307</v>
      </c>
      <c r="D58" s="5">
        <v>76</v>
      </c>
      <c r="E58" s="5">
        <v>47</v>
      </c>
      <c r="F58" s="5">
        <v>45</v>
      </c>
      <c r="G58" s="5">
        <v>87</v>
      </c>
      <c r="H58" s="5">
        <v>55</v>
      </c>
      <c r="I58" s="5">
        <f t="shared" si="0"/>
        <v>310</v>
      </c>
      <c r="J58" s="5">
        <v>500</v>
      </c>
      <c r="K58" s="4">
        <f t="shared" si="1"/>
        <v>0.62</v>
      </c>
      <c r="L58" s="3">
        <f t="shared" si="2"/>
        <v>0.38</v>
      </c>
    </row>
    <row r="59" spans="1:12" x14ac:dyDescent="0.3">
      <c r="A59" t="s">
        <v>57</v>
      </c>
      <c r="B59" t="s">
        <v>207</v>
      </c>
      <c r="C59" t="s">
        <v>300</v>
      </c>
      <c r="D59" s="5">
        <v>46</v>
      </c>
      <c r="E59" s="5">
        <v>68</v>
      </c>
      <c r="F59" s="5">
        <v>75</v>
      </c>
      <c r="G59" s="5">
        <v>65</v>
      </c>
      <c r="H59" s="5">
        <v>65</v>
      </c>
      <c r="I59" s="5">
        <f t="shared" si="0"/>
        <v>319</v>
      </c>
      <c r="J59" s="5">
        <v>500</v>
      </c>
      <c r="K59" s="4">
        <f t="shared" si="1"/>
        <v>0.63800000000000001</v>
      </c>
      <c r="L59" s="3">
        <f t="shared" si="2"/>
        <v>0.36199999999999999</v>
      </c>
    </row>
    <row r="60" spans="1:12" x14ac:dyDescent="0.3">
      <c r="A60" t="s">
        <v>58</v>
      </c>
      <c r="B60" t="s">
        <v>208</v>
      </c>
      <c r="C60" t="s">
        <v>306</v>
      </c>
      <c r="D60" s="5">
        <v>35</v>
      </c>
      <c r="E60" s="5">
        <v>67</v>
      </c>
      <c r="F60" s="5">
        <v>67</v>
      </c>
      <c r="G60" s="5">
        <v>78</v>
      </c>
      <c r="H60" s="5">
        <v>56</v>
      </c>
      <c r="I60" s="5">
        <f t="shared" si="0"/>
        <v>303</v>
      </c>
      <c r="J60" s="5">
        <v>500</v>
      </c>
      <c r="K60" s="4">
        <f t="shared" si="1"/>
        <v>0.60599999999999998</v>
      </c>
      <c r="L60" s="3">
        <f t="shared" si="2"/>
        <v>0.39400000000000002</v>
      </c>
    </row>
    <row r="61" spans="1:12" x14ac:dyDescent="0.3">
      <c r="A61" t="s">
        <v>59</v>
      </c>
      <c r="B61" t="s">
        <v>209</v>
      </c>
      <c r="C61" t="s">
        <v>301</v>
      </c>
      <c r="D61" s="5">
        <v>34</v>
      </c>
      <c r="E61" s="5">
        <v>46</v>
      </c>
      <c r="F61" s="5">
        <v>78</v>
      </c>
      <c r="G61" s="5">
        <v>54</v>
      </c>
      <c r="H61" s="5">
        <v>43</v>
      </c>
      <c r="I61" s="5">
        <f t="shared" si="0"/>
        <v>255</v>
      </c>
      <c r="J61" s="5">
        <v>500</v>
      </c>
      <c r="K61" s="4">
        <f t="shared" si="1"/>
        <v>0.51</v>
      </c>
      <c r="L61" s="3">
        <f t="shared" si="2"/>
        <v>0.49</v>
      </c>
    </row>
    <row r="62" spans="1:12" x14ac:dyDescent="0.3">
      <c r="A62" t="s">
        <v>60</v>
      </c>
      <c r="B62" t="s">
        <v>210</v>
      </c>
      <c r="C62" t="s">
        <v>300</v>
      </c>
      <c r="D62" s="5">
        <v>78</v>
      </c>
      <c r="E62" s="5">
        <v>23</v>
      </c>
      <c r="F62" s="5">
        <v>46</v>
      </c>
      <c r="G62" s="5">
        <v>68</v>
      </c>
      <c r="H62" s="5">
        <v>76</v>
      </c>
      <c r="I62" s="5">
        <f t="shared" si="0"/>
        <v>291</v>
      </c>
      <c r="J62" s="5">
        <v>500</v>
      </c>
      <c r="K62" s="4">
        <f t="shared" si="1"/>
        <v>0.58199999999999996</v>
      </c>
      <c r="L62" s="3">
        <f t="shared" si="2"/>
        <v>0.41800000000000004</v>
      </c>
    </row>
    <row r="63" spans="1:12" x14ac:dyDescent="0.3">
      <c r="A63" t="s">
        <v>61</v>
      </c>
      <c r="B63" t="s">
        <v>211</v>
      </c>
      <c r="C63" t="s">
        <v>302</v>
      </c>
      <c r="D63" s="5">
        <v>56</v>
      </c>
      <c r="E63" s="5">
        <v>66</v>
      </c>
      <c r="F63" s="5">
        <v>87</v>
      </c>
      <c r="G63" s="5">
        <v>42</v>
      </c>
      <c r="H63" s="5">
        <v>46</v>
      </c>
      <c r="I63" s="5">
        <f t="shared" si="0"/>
        <v>297</v>
      </c>
      <c r="J63" s="5">
        <v>500</v>
      </c>
      <c r="K63" s="4">
        <f t="shared" si="1"/>
        <v>0.59399999999999997</v>
      </c>
      <c r="L63" s="3">
        <f t="shared" si="2"/>
        <v>0.40600000000000003</v>
      </c>
    </row>
    <row r="64" spans="1:12" x14ac:dyDescent="0.3">
      <c r="A64" t="s">
        <v>62</v>
      </c>
      <c r="B64" t="s">
        <v>212</v>
      </c>
      <c r="C64" t="s">
        <v>307</v>
      </c>
      <c r="D64" s="5">
        <v>45</v>
      </c>
      <c r="E64" s="5">
        <v>87</v>
      </c>
      <c r="F64" s="5">
        <v>65</v>
      </c>
      <c r="G64" s="5">
        <v>45</v>
      </c>
      <c r="H64" s="5">
        <v>47</v>
      </c>
      <c r="I64" s="5">
        <f t="shared" si="0"/>
        <v>289</v>
      </c>
      <c r="J64" s="5">
        <v>500</v>
      </c>
      <c r="K64" s="4">
        <f t="shared" si="1"/>
        <v>0.57799999999999996</v>
      </c>
      <c r="L64" s="3">
        <f t="shared" si="2"/>
        <v>0.42200000000000004</v>
      </c>
    </row>
    <row r="65" spans="1:12" x14ac:dyDescent="0.3">
      <c r="A65" t="s">
        <v>63</v>
      </c>
      <c r="B65" t="s">
        <v>213</v>
      </c>
      <c r="C65" t="s">
        <v>302</v>
      </c>
      <c r="D65" s="5">
        <v>57</v>
      </c>
      <c r="E65" s="5">
        <v>65</v>
      </c>
      <c r="F65" s="5">
        <v>76</v>
      </c>
      <c r="G65" s="5">
        <v>67</v>
      </c>
      <c r="H65" s="5">
        <v>68</v>
      </c>
      <c r="I65" s="5">
        <f t="shared" si="0"/>
        <v>333</v>
      </c>
      <c r="J65" s="5">
        <v>500</v>
      </c>
      <c r="K65" s="4">
        <f t="shared" si="1"/>
        <v>0.66600000000000004</v>
      </c>
      <c r="L65" s="3">
        <f t="shared" si="2"/>
        <v>0.33399999999999996</v>
      </c>
    </row>
    <row r="66" spans="1:12" x14ac:dyDescent="0.3">
      <c r="A66" t="s">
        <v>64</v>
      </c>
      <c r="B66" t="s">
        <v>214</v>
      </c>
      <c r="C66" t="s">
        <v>306</v>
      </c>
      <c r="D66" s="5">
        <v>45</v>
      </c>
      <c r="E66" s="5">
        <v>78</v>
      </c>
      <c r="F66" s="5">
        <v>76</v>
      </c>
      <c r="G66" s="5">
        <v>78</v>
      </c>
      <c r="H66" s="5">
        <v>67</v>
      </c>
      <c r="I66" s="5">
        <f t="shared" si="0"/>
        <v>344</v>
      </c>
      <c r="J66" s="5">
        <v>500</v>
      </c>
      <c r="K66" s="4">
        <f t="shared" si="1"/>
        <v>0.68799999999999994</v>
      </c>
      <c r="L66" s="3">
        <f t="shared" si="2"/>
        <v>0.31200000000000006</v>
      </c>
    </row>
    <row r="67" spans="1:12" x14ac:dyDescent="0.3">
      <c r="A67" t="s">
        <v>65</v>
      </c>
      <c r="B67" t="s">
        <v>215</v>
      </c>
      <c r="C67" t="s">
        <v>300</v>
      </c>
      <c r="D67" s="5">
        <v>53</v>
      </c>
      <c r="E67" s="5">
        <v>54</v>
      </c>
      <c r="F67" s="5">
        <v>56</v>
      </c>
      <c r="G67" s="5">
        <v>80</v>
      </c>
      <c r="H67" s="5">
        <v>46</v>
      </c>
      <c r="I67" s="5">
        <f t="shared" ref="I67:I129" si="3">SUM(D67:H67)</f>
        <v>289</v>
      </c>
      <c r="J67" s="5">
        <v>500</v>
      </c>
      <c r="K67" s="4">
        <f t="shared" ref="K67:K129" si="4">I67/J67</f>
        <v>0.57799999999999996</v>
      </c>
      <c r="L67" s="3">
        <f t="shared" ref="L67:L129" si="5">100%-K67</f>
        <v>0.42200000000000004</v>
      </c>
    </row>
    <row r="68" spans="1:12" x14ac:dyDescent="0.3">
      <c r="A68" t="s">
        <v>66</v>
      </c>
      <c r="B68" t="s">
        <v>216</v>
      </c>
      <c r="C68" t="s">
        <v>302</v>
      </c>
      <c r="D68" s="5">
        <v>34</v>
      </c>
      <c r="E68" s="5">
        <v>68</v>
      </c>
      <c r="F68" s="5">
        <v>54</v>
      </c>
      <c r="G68" s="5">
        <v>57</v>
      </c>
      <c r="H68" s="5">
        <v>23</v>
      </c>
      <c r="I68" s="5">
        <f t="shared" si="3"/>
        <v>236</v>
      </c>
      <c r="J68" s="5">
        <v>500</v>
      </c>
      <c r="K68" s="4">
        <f t="shared" si="4"/>
        <v>0.47199999999999998</v>
      </c>
      <c r="L68" s="3">
        <f t="shared" si="5"/>
        <v>0.52800000000000002</v>
      </c>
    </row>
    <row r="69" spans="1:12" x14ac:dyDescent="0.3">
      <c r="A69" t="s">
        <v>67</v>
      </c>
      <c r="B69" t="s">
        <v>217</v>
      </c>
      <c r="C69" t="s">
        <v>307</v>
      </c>
      <c r="D69" s="5">
        <v>46</v>
      </c>
      <c r="E69" s="5">
        <v>42</v>
      </c>
      <c r="F69" s="5">
        <v>56</v>
      </c>
      <c r="G69" s="5">
        <v>54</v>
      </c>
      <c r="H69" s="5">
        <v>66</v>
      </c>
      <c r="I69" s="5">
        <f t="shared" si="3"/>
        <v>264</v>
      </c>
      <c r="J69" s="5">
        <v>500</v>
      </c>
      <c r="K69" s="4">
        <f t="shared" si="4"/>
        <v>0.52800000000000002</v>
      </c>
      <c r="L69" s="3">
        <f t="shared" si="5"/>
        <v>0.47199999999999998</v>
      </c>
    </row>
    <row r="70" spans="1:12" x14ac:dyDescent="0.3">
      <c r="A70" t="s">
        <v>68</v>
      </c>
      <c r="B70" t="s">
        <v>218</v>
      </c>
      <c r="C70" t="s">
        <v>307</v>
      </c>
      <c r="D70" s="5">
        <v>46</v>
      </c>
      <c r="E70" s="5">
        <v>45</v>
      </c>
      <c r="F70" s="5">
        <v>54</v>
      </c>
      <c r="G70" s="5">
        <v>60</v>
      </c>
      <c r="H70" s="5">
        <v>87</v>
      </c>
      <c r="I70" s="5">
        <f t="shared" si="3"/>
        <v>292</v>
      </c>
      <c r="J70" s="5">
        <v>500</v>
      </c>
      <c r="K70" s="4">
        <f t="shared" si="4"/>
        <v>0.58399999999999996</v>
      </c>
      <c r="L70" s="3">
        <f t="shared" si="5"/>
        <v>0.41600000000000004</v>
      </c>
    </row>
    <row r="71" spans="1:12" x14ac:dyDescent="0.3">
      <c r="A71" t="s">
        <v>69</v>
      </c>
      <c r="B71" t="s">
        <v>219</v>
      </c>
      <c r="C71" t="s">
        <v>307</v>
      </c>
      <c r="D71" s="5">
        <v>76</v>
      </c>
      <c r="E71" s="5">
        <v>67</v>
      </c>
      <c r="F71" s="5">
        <v>43</v>
      </c>
      <c r="G71" s="5">
        <v>35</v>
      </c>
      <c r="H71" s="5">
        <v>65</v>
      </c>
      <c r="I71" s="5">
        <f t="shared" si="3"/>
        <v>286</v>
      </c>
      <c r="J71" s="5">
        <v>500</v>
      </c>
      <c r="K71" s="4">
        <f t="shared" si="4"/>
        <v>0.57199999999999995</v>
      </c>
      <c r="L71" s="3">
        <f t="shared" si="5"/>
        <v>0.42800000000000005</v>
      </c>
    </row>
    <row r="72" spans="1:12" x14ac:dyDescent="0.3">
      <c r="A72" t="s">
        <v>70</v>
      </c>
      <c r="B72" t="s">
        <v>220</v>
      </c>
      <c r="C72" t="s">
        <v>301</v>
      </c>
      <c r="D72" s="5">
        <v>35</v>
      </c>
      <c r="E72" s="5">
        <v>78</v>
      </c>
      <c r="F72" s="5">
        <v>76</v>
      </c>
      <c r="G72" s="5">
        <v>57</v>
      </c>
      <c r="H72" s="5">
        <v>78</v>
      </c>
      <c r="I72" s="5">
        <f t="shared" si="3"/>
        <v>324</v>
      </c>
      <c r="J72" s="5">
        <v>500</v>
      </c>
      <c r="K72" s="4">
        <f t="shared" si="4"/>
        <v>0.64800000000000002</v>
      </c>
      <c r="L72" s="3">
        <f t="shared" si="5"/>
        <v>0.35199999999999998</v>
      </c>
    </row>
    <row r="73" spans="1:12" x14ac:dyDescent="0.3">
      <c r="A73" t="s">
        <v>71</v>
      </c>
      <c r="B73" t="s">
        <v>221</v>
      </c>
      <c r="C73" t="s">
        <v>301</v>
      </c>
      <c r="D73" s="5">
        <v>75</v>
      </c>
      <c r="E73" s="5">
        <v>80</v>
      </c>
      <c r="F73" s="5">
        <v>45</v>
      </c>
      <c r="G73" s="5">
        <v>79</v>
      </c>
      <c r="H73" s="5">
        <v>54</v>
      </c>
      <c r="I73" s="5">
        <f t="shared" si="3"/>
        <v>333</v>
      </c>
      <c r="J73" s="5">
        <v>500</v>
      </c>
      <c r="K73" s="4">
        <f t="shared" si="4"/>
        <v>0.66600000000000004</v>
      </c>
      <c r="L73" s="3">
        <f t="shared" si="5"/>
        <v>0.33399999999999996</v>
      </c>
    </row>
    <row r="74" spans="1:12" x14ac:dyDescent="0.3">
      <c r="A74" t="s">
        <v>72</v>
      </c>
      <c r="B74" t="s">
        <v>222</v>
      </c>
      <c r="C74" t="s">
        <v>306</v>
      </c>
      <c r="D74" s="5">
        <v>35</v>
      </c>
      <c r="E74" s="5">
        <v>57</v>
      </c>
      <c r="F74" s="5">
        <v>86</v>
      </c>
      <c r="G74" s="5">
        <v>98</v>
      </c>
      <c r="H74" s="5">
        <v>68</v>
      </c>
      <c r="I74" s="5">
        <f t="shared" si="3"/>
        <v>344</v>
      </c>
      <c r="J74" s="5">
        <v>500</v>
      </c>
      <c r="K74" s="4">
        <f t="shared" si="4"/>
        <v>0.68799999999999994</v>
      </c>
      <c r="L74" s="3">
        <f t="shared" si="5"/>
        <v>0.31200000000000006</v>
      </c>
    </row>
    <row r="75" spans="1:12" x14ac:dyDescent="0.3">
      <c r="A75" t="s">
        <v>73</v>
      </c>
      <c r="B75" t="s">
        <v>223</v>
      </c>
      <c r="C75" t="s">
        <v>305</v>
      </c>
      <c r="D75" s="5">
        <v>67</v>
      </c>
      <c r="E75" s="5">
        <v>54</v>
      </c>
      <c r="F75" s="5">
        <v>56</v>
      </c>
      <c r="G75" s="5">
        <v>65</v>
      </c>
      <c r="H75" s="5">
        <v>42</v>
      </c>
      <c r="I75" s="5">
        <f t="shared" si="3"/>
        <v>284</v>
      </c>
      <c r="J75" s="5">
        <v>500</v>
      </c>
      <c r="K75" s="4">
        <f t="shared" si="4"/>
        <v>0.56799999999999995</v>
      </c>
      <c r="L75" s="3">
        <f t="shared" si="5"/>
        <v>0.43200000000000005</v>
      </c>
    </row>
    <row r="76" spans="1:12" x14ac:dyDescent="0.3">
      <c r="A76" t="s">
        <v>74</v>
      </c>
      <c r="B76" t="s">
        <v>224</v>
      </c>
      <c r="C76" t="s">
        <v>305</v>
      </c>
      <c r="D76" s="5">
        <v>55</v>
      </c>
      <c r="E76" s="5">
        <v>60</v>
      </c>
      <c r="F76" s="5">
        <v>67</v>
      </c>
      <c r="G76" s="5">
        <v>56</v>
      </c>
      <c r="H76" s="5">
        <v>45</v>
      </c>
      <c r="I76" s="5">
        <f t="shared" si="3"/>
        <v>283</v>
      </c>
      <c r="J76" s="5">
        <v>500</v>
      </c>
      <c r="K76" s="4">
        <f t="shared" si="4"/>
        <v>0.56599999999999995</v>
      </c>
      <c r="L76" s="3">
        <f t="shared" si="5"/>
        <v>0.43400000000000005</v>
      </c>
    </row>
    <row r="77" spans="1:12" x14ac:dyDescent="0.3">
      <c r="A77" t="s">
        <v>75</v>
      </c>
      <c r="B77" t="s">
        <v>225</v>
      </c>
      <c r="C77" t="s">
        <v>302</v>
      </c>
      <c r="D77" s="5">
        <v>65</v>
      </c>
      <c r="E77" s="5">
        <v>35</v>
      </c>
      <c r="F77" s="5">
        <v>45</v>
      </c>
      <c r="G77" s="5">
        <v>87</v>
      </c>
      <c r="H77" s="5">
        <v>67</v>
      </c>
      <c r="I77" s="5">
        <f t="shared" si="3"/>
        <v>299</v>
      </c>
      <c r="J77" s="5">
        <v>500</v>
      </c>
      <c r="K77" s="4">
        <f t="shared" si="4"/>
        <v>0.59799999999999998</v>
      </c>
      <c r="L77" s="3">
        <f t="shared" si="5"/>
        <v>0.40200000000000002</v>
      </c>
    </row>
    <row r="78" spans="1:12" x14ac:dyDescent="0.3">
      <c r="A78" t="s">
        <v>76</v>
      </c>
      <c r="B78" t="s">
        <v>226</v>
      </c>
      <c r="C78" t="s">
        <v>300</v>
      </c>
      <c r="D78" s="5">
        <v>56</v>
      </c>
      <c r="E78" s="5">
        <v>57</v>
      </c>
      <c r="F78" s="5">
        <v>54</v>
      </c>
      <c r="G78" s="5">
        <v>89</v>
      </c>
      <c r="H78" s="5">
        <v>78</v>
      </c>
      <c r="I78" s="5">
        <f t="shared" si="3"/>
        <v>334</v>
      </c>
      <c r="J78" s="5">
        <v>500</v>
      </c>
      <c r="K78" s="4">
        <f t="shared" si="4"/>
        <v>0.66800000000000004</v>
      </c>
      <c r="L78" s="3">
        <f t="shared" si="5"/>
        <v>0.33199999999999996</v>
      </c>
    </row>
    <row r="79" spans="1:12" x14ac:dyDescent="0.3">
      <c r="A79" t="s">
        <v>77</v>
      </c>
      <c r="B79" t="s">
        <v>227</v>
      </c>
      <c r="C79" t="s">
        <v>302</v>
      </c>
      <c r="D79" s="5">
        <v>43</v>
      </c>
      <c r="E79" s="5">
        <v>79</v>
      </c>
      <c r="F79" s="5">
        <v>76</v>
      </c>
      <c r="G79" s="5">
        <v>78</v>
      </c>
      <c r="H79" s="5">
        <v>80</v>
      </c>
      <c r="I79" s="5">
        <f t="shared" si="3"/>
        <v>356</v>
      </c>
      <c r="J79" s="5">
        <v>500</v>
      </c>
      <c r="K79" s="4">
        <f t="shared" si="4"/>
        <v>0.71199999999999997</v>
      </c>
      <c r="L79" s="3">
        <f t="shared" si="5"/>
        <v>0.28800000000000003</v>
      </c>
    </row>
    <row r="80" spans="1:12" x14ac:dyDescent="0.3">
      <c r="A80" t="s">
        <v>78</v>
      </c>
      <c r="B80" t="s">
        <v>228</v>
      </c>
      <c r="C80" t="s">
        <v>302</v>
      </c>
      <c r="D80" s="5">
        <v>76</v>
      </c>
      <c r="E80" s="5">
        <v>98</v>
      </c>
      <c r="F80" s="5">
        <v>46</v>
      </c>
      <c r="G80" s="5">
        <v>41</v>
      </c>
      <c r="H80" s="5">
        <v>57</v>
      </c>
      <c r="I80" s="5">
        <f t="shared" si="3"/>
        <v>318</v>
      </c>
      <c r="J80" s="5">
        <v>500</v>
      </c>
      <c r="K80" s="4">
        <f t="shared" si="4"/>
        <v>0.63600000000000001</v>
      </c>
      <c r="L80" s="3">
        <f t="shared" si="5"/>
        <v>0.36399999999999999</v>
      </c>
    </row>
    <row r="81" spans="1:12" x14ac:dyDescent="0.3">
      <c r="A81" t="s">
        <v>79</v>
      </c>
      <c r="B81" t="s">
        <v>229</v>
      </c>
      <c r="C81" t="s">
        <v>303</v>
      </c>
      <c r="D81" s="5">
        <v>46</v>
      </c>
      <c r="E81" s="5">
        <v>65</v>
      </c>
      <c r="F81" s="5">
        <v>35</v>
      </c>
      <c r="G81" s="5">
        <v>45</v>
      </c>
      <c r="H81" s="5">
        <v>54</v>
      </c>
      <c r="I81" s="5">
        <f t="shared" si="3"/>
        <v>245</v>
      </c>
      <c r="J81" s="5">
        <v>500</v>
      </c>
      <c r="K81" s="4">
        <f t="shared" si="4"/>
        <v>0.49</v>
      </c>
      <c r="L81" s="3">
        <f t="shared" si="5"/>
        <v>0.51</v>
      </c>
    </row>
    <row r="82" spans="1:12" x14ac:dyDescent="0.3">
      <c r="A82" t="s">
        <v>80</v>
      </c>
      <c r="B82" t="s">
        <v>230</v>
      </c>
      <c r="C82" t="s">
        <v>300</v>
      </c>
      <c r="D82" s="5">
        <v>47</v>
      </c>
      <c r="E82" s="5">
        <v>56</v>
      </c>
      <c r="F82" s="5">
        <v>34</v>
      </c>
      <c r="G82" s="5">
        <v>75</v>
      </c>
      <c r="H82" s="5">
        <v>46</v>
      </c>
      <c r="I82" s="5">
        <f t="shared" si="3"/>
        <v>258</v>
      </c>
      <c r="J82" s="5">
        <v>500</v>
      </c>
      <c r="K82" s="4">
        <f t="shared" si="4"/>
        <v>0.51600000000000001</v>
      </c>
      <c r="L82" s="3">
        <f t="shared" si="5"/>
        <v>0.48399999999999999</v>
      </c>
    </row>
    <row r="83" spans="1:12" x14ac:dyDescent="0.3">
      <c r="A83" t="s">
        <v>81</v>
      </c>
      <c r="B83" t="s">
        <v>231</v>
      </c>
      <c r="C83" t="s">
        <v>301</v>
      </c>
      <c r="D83" s="5">
        <v>68</v>
      </c>
      <c r="E83" s="5">
        <v>87</v>
      </c>
      <c r="F83" s="5">
        <v>78</v>
      </c>
      <c r="G83" s="5">
        <v>67</v>
      </c>
      <c r="H83" s="5">
        <v>47</v>
      </c>
      <c r="I83" s="5">
        <f t="shared" si="3"/>
        <v>347</v>
      </c>
      <c r="J83" s="5">
        <v>500</v>
      </c>
      <c r="K83" s="4">
        <f t="shared" si="4"/>
        <v>0.69399999999999995</v>
      </c>
      <c r="L83" s="3">
        <f t="shared" si="5"/>
        <v>0.30600000000000005</v>
      </c>
    </row>
    <row r="84" spans="1:12" x14ac:dyDescent="0.3">
      <c r="A84" t="s">
        <v>82</v>
      </c>
      <c r="B84" t="s">
        <v>232</v>
      </c>
      <c r="C84" t="s">
        <v>302</v>
      </c>
      <c r="D84" s="5">
        <v>67</v>
      </c>
      <c r="E84" s="5">
        <v>89</v>
      </c>
      <c r="F84" s="5">
        <v>56</v>
      </c>
      <c r="G84" s="5">
        <v>78</v>
      </c>
      <c r="H84" s="5">
        <v>68</v>
      </c>
      <c r="I84" s="5">
        <f t="shared" si="3"/>
        <v>358</v>
      </c>
      <c r="J84" s="5">
        <v>500</v>
      </c>
      <c r="K84" s="4">
        <f t="shared" si="4"/>
        <v>0.71599999999999997</v>
      </c>
      <c r="L84" s="3">
        <f t="shared" si="5"/>
        <v>0.28400000000000003</v>
      </c>
    </row>
    <row r="85" spans="1:12" x14ac:dyDescent="0.3">
      <c r="A85" t="s">
        <v>83</v>
      </c>
      <c r="B85" t="s">
        <v>233</v>
      </c>
      <c r="C85" t="s">
        <v>307</v>
      </c>
      <c r="D85" s="5">
        <v>46</v>
      </c>
      <c r="E85" s="5">
        <v>78</v>
      </c>
      <c r="F85" s="5">
        <v>45</v>
      </c>
      <c r="G85" s="5">
        <v>46</v>
      </c>
      <c r="H85" s="5">
        <v>67</v>
      </c>
      <c r="I85" s="5">
        <f t="shared" si="3"/>
        <v>282</v>
      </c>
      <c r="J85" s="5">
        <v>500</v>
      </c>
      <c r="K85" s="4">
        <f t="shared" si="4"/>
        <v>0.56399999999999995</v>
      </c>
      <c r="L85" s="3">
        <f t="shared" si="5"/>
        <v>0.43600000000000005</v>
      </c>
    </row>
    <row r="86" spans="1:12" x14ac:dyDescent="0.3">
      <c r="A86" t="s">
        <v>84</v>
      </c>
      <c r="B86" t="s">
        <v>234</v>
      </c>
      <c r="C86" t="s">
        <v>307</v>
      </c>
      <c r="D86" s="5">
        <v>23</v>
      </c>
      <c r="E86" s="5">
        <v>41</v>
      </c>
      <c r="F86" s="5">
        <v>57</v>
      </c>
      <c r="G86" s="5">
        <v>87</v>
      </c>
      <c r="H86" s="5">
        <v>46</v>
      </c>
      <c r="I86" s="5">
        <f t="shared" si="3"/>
        <v>254</v>
      </c>
      <c r="J86" s="5">
        <v>500</v>
      </c>
      <c r="K86" s="4">
        <f t="shared" si="4"/>
        <v>0.50800000000000001</v>
      </c>
      <c r="L86" s="3">
        <f t="shared" si="5"/>
        <v>0.49199999999999999</v>
      </c>
    </row>
    <row r="87" spans="1:12" x14ac:dyDescent="0.3">
      <c r="A87" t="s">
        <v>85</v>
      </c>
      <c r="B87" t="s">
        <v>235</v>
      </c>
      <c r="C87" t="s">
        <v>300</v>
      </c>
      <c r="D87" s="5">
        <v>66</v>
      </c>
      <c r="E87" s="5">
        <v>45</v>
      </c>
      <c r="F87" s="5">
        <v>45</v>
      </c>
      <c r="G87" s="5">
        <v>65</v>
      </c>
      <c r="H87" s="5">
        <v>23</v>
      </c>
      <c r="I87" s="5">
        <f t="shared" si="3"/>
        <v>244</v>
      </c>
      <c r="J87" s="5">
        <v>500</v>
      </c>
      <c r="K87" s="4">
        <f t="shared" si="4"/>
        <v>0.48799999999999999</v>
      </c>
      <c r="L87" s="3">
        <f t="shared" si="5"/>
        <v>0.51200000000000001</v>
      </c>
    </row>
    <row r="88" spans="1:12" x14ac:dyDescent="0.3">
      <c r="A88" t="s">
        <v>86</v>
      </c>
      <c r="B88" t="s">
        <v>236</v>
      </c>
      <c r="C88" t="s">
        <v>307</v>
      </c>
      <c r="D88" s="5">
        <v>87</v>
      </c>
      <c r="E88" s="5">
        <v>75</v>
      </c>
      <c r="F88" s="5">
        <v>53</v>
      </c>
      <c r="G88" s="5">
        <v>76</v>
      </c>
      <c r="H88" s="5">
        <v>66</v>
      </c>
      <c r="I88" s="5">
        <f t="shared" si="3"/>
        <v>357</v>
      </c>
      <c r="J88" s="5">
        <v>500</v>
      </c>
      <c r="K88" s="4">
        <f t="shared" si="4"/>
        <v>0.71399999999999997</v>
      </c>
      <c r="L88" s="3">
        <f t="shared" si="5"/>
        <v>0.28600000000000003</v>
      </c>
    </row>
    <row r="89" spans="1:12" x14ac:dyDescent="0.3">
      <c r="A89" t="s">
        <v>87</v>
      </c>
      <c r="B89" t="s">
        <v>237</v>
      </c>
      <c r="C89" t="s">
        <v>302</v>
      </c>
      <c r="D89" s="5">
        <v>65</v>
      </c>
      <c r="E89" s="5">
        <v>67</v>
      </c>
      <c r="F89" s="5">
        <v>34</v>
      </c>
      <c r="G89" s="5">
        <v>76</v>
      </c>
      <c r="H89" s="5">
        <v>87</v>
      </c>
      <c r="I89" s="5">
        <f t="shared" si="3"/>
        <v>329</v>
      </c>
      <c r="J89" s="5">
        <v>500</v>
      </c>
      <c r="K89" s="4">
        <f t="shared" si="4"/>
        <v>0.65800000000000003</v>
      </c>
      <c r="L89" s="3">
        <f t="shared" si="5"/>
        <v>0.34199999999999997</v>
      </c>
    </row>
    <row r="90" spans="1:12" x14ac:dyDescent="0.3">
      <c r="A90" t="s">
        <v>88</v>
      </c>
      <c r="B90" t="s">
        <v>238</v>
      </c>
      <c r="C90" t="s">
        <v>301</v>
      </c>
      <c r="D90" s="5">
        <v>78</v>
      </c>
      <c r="E90" s="5">
        <v>78</v>
      </c>
      <c r="F90" s="5">
        <v>46</v>
      </c>
      <c r="G90" s="5">
        <v>56</v>
      </c>
      <c r="H90" s="5">
        <v>65</v>
      </c>
      <c r="I90" s="5">
        <f t="shared" si="3"/>
        <v>323</v>
      </c>
      <c r="J90" s="5">
        <v>500</v>
      </c>
      <c r="K90" s="4">
        <f t="shared" si="4"/>
        <v>0.64600000000000002</v>
      </c>
      <c r="L90" s="3">
        <f t="shared" si="5"/>
        <v>0.35399999999999998</v>
      </c>
    </row>
    <row r="91" spans="1:12" x14ac:dyDescent="0.3">
      <c r="A91" t="s">
        <v>89</v>
      </c>
      <c r="B91" t="s">
        <v>239</v>
      </c>
      <c r="C91" t="s">
        <v>301</v>
      </c>
      <c r="D91" s="5">
        <v>54</v>
      </c>
      <c r="E91" s="5">
        <v>46</v>
      </c>
      <c r="F91" s="5">
        <v>46</v>
      </c>
      <c r="G91" s="5">
        <v>54</v>
      </c>
      <c r="H91" s="5">
        <v>78</v>
      </c>
      <c r="I91" s="5">
        <f t="shared" si="3"/>
        <v>278</v>
      </c>
      <c r="J91" s="5">
        <v>500</v>
      </c>
      <c r="K91" s="4">
        <f t="shared" si="4"/>
        <v>0.55600000000000005</v>
      </c>
      <c r="L91" s="3">
        <f t="shared" si="5"/>
        <v>0.44399999999999995</v>
      </c>
    </row>
    <row r="92" spans="1:12" x14ac:dyDescent="0.3">
      <c r="A92" t="s">
        <v>90</v>
      </c>
      <c r="B92" t="s">
        <v>240</v>
      </c>
      <c r="C92" t="s">
        <v>302</v>
      </c>
      <c r="D92" s="5">
        <v>68</v>
      </c>
      <c r="E92" s="5">
        <v>87</v>
      </c>
      <c r="F92" s="5">
        <v>76</v>
      </c>
      <c r="G92" s="5">
        <v>56</v>
      </c>
      <c r="H92" s="5">
        <v>54</v>
      </c>
      <c r="I92" s="5">
        <f t="shared" si="3"/>
        <v>341</v>
      </c>
      <c r="J92" s="5">
        <v>500</v>
      </c>
      <c r="K92" s="4">
        <f t="shared" si="4"/>
        <v>0.68200000000000005</v>
      </c>
      <c r="L92" s="3">
        <f t="shared" si="5"/>
        <v>0.31799999999999995</v>
      </c>
    </row>
    <row r="93" spans="1:12" x14ac:dyDescent="0.3">
      <c r="A93" t="s">
        <v>91</v>
      </c>
      <c r="B93" t="s">
        <v>241</v>
      </c>
      <c r="C93" t="s">
        <v>307</v>
      </c>
      <c r="D93" s="5">
        <v>42</v>
      </c>
      <c r="E93" s="5">
        <v>65</v>
      </c>
      <c r="F93" s="5">
        <v>35</v>
      </c>
      <c r="G93" s="5">
        <v>54</v>
      </c>
      <c r="H93" s="5">
        <v>68</v>
      </c>
      <c r="I93" s="5">
        <f t="shared" si="3"/>
        <v>264</v>
      </c>
      <c r="J93" s="5">
        <v>500</v>
      </c>
      <c r="K93" s="4">
        <f t="shared" si="4"/>
        <v>0.52800000000000002</v>
      </c>
      <c r="L93" s="3">
        <f t="shared" si="5"/>
        <v>0.47199999999999998</v>
      </c>
    </row>
    <row r="94" spans="1:12" x14ac:dyDescent="0.3">
      <c r="A94" t="s">
        <v>92</v>
      </c>
      <c r="B94" t="s">
        <v>243</v>
      </c>
      <c r="C94" t="s">
        <v>300</v>
      </c>
      <c r="D94" s="5">
        <v>67</v>
      </c>
      <c r="E94" s="5">
        <v>76</v>
      </c>
      <c r="F94" s="5">
        <v>35</v>
      </c>
      <c r="G94" s="5">
        <v>76</v>
      </c>
      <c r="H94" s="5">
        <v>45</v>
      </c>
      <c r="I94" s="5">
        <f t="shared" si="3"/>
        <v>299</v>
      </c>
      <c r="J94" s="5">
        <v>500</v>
      </c>
      <c r="K94" s="4">
        <f t="shared" si="4"/>
        <v>0.59799999999999998</v>
      </c>
      <c r="L94" s="3">
        <f t="shared" si="5"/>
        <v>0.40200000000000002</v>
      </c>
    </row>
    <row r="95" spans="1:12" x14ac:dyDescent="0.3">
      <c r="A95" t="s">
        <v>93</v>
      </c>
      <c r="B95" t="s">
        <v>244</v>
      </c>
      <c r="C95" t="s">
        <v>307</v>
      </c>
      <c r="D95" s="5">
        <v>78</v>
      </c>
      <c r="E95" s="5">
        <v>56</v>
      </c>
      <c r="F95" s="5">
        <v>67</v>
      </c>
      <c r="G95" s="5">
        <v>45</v>
      </c>
      <c r="H95" s="5">
        <v>67</v>
      </c>
      <c r="I95" s="5">
        <f t="shared" si="3"/>
        <v>313</v>
      </c>
      <c r="J95" s="5">
        <v>500</v>
      </c>
      <c r="K95" s="4">
        <f t="shared" si="4"/>
        <v>0.626</v>
      </c>
      <c r="L95" s="3">
        <f t="shared" si="5"/>
        <v>0.374</v>
      </c>
    </row>
    <row r="96" spans="1:12" x14ac:dyDescent="0.3">
      <c r="A96" t="s">
        <v>94</v>
      </c>
      <c r="B96" t="s">
        <v>245</v>
      </c>
      <c r="C96" t="s">
        <v>307</v>
      </c>
      <c r="D96" s="5">
        <v>80</v>
      </c>
      <c r="E96" s="5">
        <v>54</v>
      </c>
      <c r="F96" s="5">
        <v>55</v>
      </c>
      <c r="G96" s="5">
        <v>86</v>
      </c>
      <c r="H96" s="5">
        <v>78</v>
      </c>
      <c r="I96" s="5">
        <f t="shared" si="3"/>
        <v>353</v>
      </c>
      <c r="J96" s="5">
        <v>500</v>
      </c>
      <c r="K96" s="4">
        <f t="shared" si="4"/>
        <v>0.70599999999999996</v>
      </c>
      <c r="L96" s="3">
        <f t="shared" si="5"/>
        <v>0.29400000000000004</v>
      </c>
    </row>
    <row r="97" spans="1:12" x14ac:dyDescent="0.3">
      <c r="A97" t="s">
        <v>95</v>
      </c>
      <c r="B97" t="s">
        <v>246</v>
      </c>
      <c r="C97" t="s">
        <v>300</v>
      </c>
      <c r="D97" s="5">
        <v>57</v>
      </c>
      <c r="E97" s="5">
        <v>56</v>
      </c>
      <c r="F97" s="5">
        <v>65</v>
      </c>
      <c r="G97" s="5">
        <v>56</v>
      </c>
      <c r="H97" s="5">
        <v>80</v>
      </c>
      <c r="I97" s="5">
        <f t="shared" si="3"/>
        <v>314</v>
      </c>
      <c r="J97" s="5">
        <v>500</v>
      </c>
      <c r="K97" s="4">
        <f t="shared" si="4"/>
        <v>0.628</v>
      </c>
      <c r="L97" s="3">
        <f t="shared" si="5"/>
        <v>0.372</v>
      </c>
    </row>
    <row r="98" spans="1:12" x14ac:dyDescent="0.3">
      <c r="A98" t="s">
        <v>96</v>
      </c>
      <c r="B98" t="s">
        <v>247</v>
      </c>
      <c r="C98" t="s">
        <v>301</v>
      </c>
      <c r="D98" s="5">
        <v>54</v>
      </c>
      <c r="E98" s="5">
        <v>54</v>
      </c>
      <c r="F98" s="5">
        <v>56</v>
      </c>
      <c r="G98" s="5">
        <v>55</v>
      </c>
      <c r="H98" s="5">
        <v>57</v>
      </c>
      <c r="I98" s="5">
        <f t="shared" si="3"/>
        <v>276</v>
      </c>
      <c r="J98" s="5">
        <v>500</v>
      </c>
      <c r="K98" s="4">
        <f t="shared" si="4"/>
        <v>0.55200000000000005</v>
      </c>
      <c r="L98" s="3">
        <f t="shared" si="5"/>
        <v>0.44799999999999995</v>
      </c>
    </row>
    <row r="99" spans="1:12" x14ac:dyDescent="0.3">
      <c r="A99" t="s">
        <v>97</v>
      </c>
      <c r="B99" t="s">
        <v>248</v>
      </c>
      <c r="C99" t="s">
        <v>302</v>
      </c>
      <c r="D99" s="5">
        <v>60</v>
      </c>
      <c r="E99" s="5">
        <v>43</v>
      </c>
      <c r="F99" s="5">
        <v>43</v>
      </c>
      <c r="G99" s="5">
        <v>65</v>
      </c>
      <c r="H99" s="5">
        <v>54</v>
      </c>
      <c r="I99" s="5">
        <f t="shared" si="3"/>
        <v>265</v>
      </c>
      <c r="J99" s="5">
        <v>500</v>
      </c>
      <c r="K99" s="4">
        <f t="shared" si="4"/>
        <v>0.53</v>
      </c>
      <c r="L99" s="3">
        <f t="shared" si="5"/>
        <v>0.47</v>
      </c>
    </row>
    <row r="100" spans="1:12" x14ac:dyDescent="0.3">
      <c r="A100" t="s">
        <v>98</v>
      </c>
      <c r="B100" t="s">
        <v>249</v>
      </c>
      <c r="C100" t="s">
        <v>307</v>
      </c>
      <c r="D100" s="5">
        <v>35</v>
      </c>
      <c r="E100" s="5">
        <v>76</v>
      </c>
      <c r="F100" s="5">
        <v>76</v>
      </c>
      <c r="G100" s="5">
        <v>56</v>
      </c>
      <c r="H100" s="5">
        <v>60</v>
      </c>
      <c r="I100" s="5">
        <f t="shared" si="3"/>
        <v>303</v>
      </c>
      <c r="J100" s="5">
        <v>500</v>
      </c>
      <c r="K100" s="4">
        <f t="shared" si="4"/>
        <v>0.60599999999999998</v>
      </c>
      <c r="L100" s="3">
        <f t="shared" si="5"/>
        <v>0.39400000000000002</v>
      </c>
    </row>
    <row r="101" spans="1:12" x14ac:dyDescent="0.3">
      <c r="A101" t="s">
        <v>99</v>
      </c>
      <c r="B101" t="s">
        <v>250</v>
      </c>
      <c r="C101" t="s">
        <v>306</v>
      </c>
      <c r="D101" s="5">
        <v>57</v>
      </c>
      <c r="E101" s="5">
        <v>45</v>
      </c>
      <c r="F101" s="5">
        <v>46</v>
      </c>
      <c r="G101" s="5">
        <v>43</v>
      </c>
      <c r="H101" s="5">
        <v>35</v>
      </c>
      <c r="I101" s="5">
        <f t="shared" si="3"/>
        <v>226</v>
      </c>
      <c r="J101" s="5">
        <v>500</v>
      </c>
      <c r="K101" s="4">
        <f t="shared" si="4"/>
        <v>0.45200000000000001</v>
      </c>
      <c r="L101" s="3">
        <f t="shared" si="5"/>
        <v>0.54800000000000004</v>
      </c>
    </row>
    <row r="102" spans="1:12" x14ac:dyDescent="0.3">
      <c r="A102" t="s">
        <v>100</v>
      </c>
      <c r="B102" t="s">
        <v>251</v>
      </c>
      <c r="C102" t="s">
        <v>301</v>
      </c>
      <c r="D102" s="5">
        <v>79</v>
      </c>
      <c r="E102" s="5">
        <v>86</v>
      </c>
      <c r="F102" s="5">
        <v>47</v>
      </c>
      <c r="G102" s="5">
        <v>76</v>
      </c>
      <c r="H102" s="5">
        <v>57</v>
      </c>
      <c r="I102" s="5">
        <f t="shared" si="3"/>
        <v>345</v>
      </c>
      <c r="J102" s="5">
        <v>500</v>
      </c>
      <c r="K102" s="4">
        <f t="shared" si="4"/>
        <v>0.69</v>
      </c>
      <c r="L102" s="3">
        <f t="shared" si="5"/>
        <v>0.31000000000000005</v>
      </c>
    </row>
    <row r="103" spans="1:12" x14ac:dyDescent="0.3">
      <c r="A103" t="s">
        <v>101</v>
      </c>
      <c r="B103" t="s">
        <v>252</v>
      </c>
      <c r="C103" t="s">
        <v>304</v>
      </c>
      <c r="D103" s="5">
        <v>98</v>
      </c>
      <c r="E103" s="5">
        <v>56</v>
      </c>
      <c r="F103" s="5">
        <v>68</v>
      </c>
      <c r="G103" s="5">
        <v>46</v>
      </c>
      <c r="H103" s="5">
        <v>79</v>
      </c>
      <c r="I103" s="5">
        <f t="shared" si="3"/>
        <v>347</v>
      </c>
      <c r="J103" s="5">
        <v>500</v>
      </c>
      <c r="K103" s="4">
        <f t="shared" si="4"/>
        <v>0.69399999999999995</v>
      </c>
      <c r="L103" s="3">
        <f t="shared" si="5"/>
        <v>0.30600000000000005</v>
      </c>
    </row>
    <row r="104" spans="1:12" x14ac:dyDescent="0.3">
      <c r="A104" t="s">
        <v>102</v>
      </c>
      <c r="B104" t="s">
        <v>253</v>
      </c>
      <c r="C104" t="s">
        <v>304</v>
      </c>
      <c r="D104" s="5">
        <v>65</v>
      </c>
      <c r="E104" s="5">
        <v>55</v>
      </c>
      <c r="F104" s="5">
        <v>67</v>
      </c>
      <c r="G104" s="5">
        <v>47</v>
      </c>
      <c r="H104" s="5">
        <v>98</v>
      </c>
      <c r="I104" s="5">
        <f t="shared" si="3"/>
        <v>332</v>
      </c>
      <c r="J104" s="5">
        <v>500</v>
      </c>
      <c r="K104" s="4">
        <f t="shared" si="4"/>
        <v>0.66400000000000003</v>
      </c>
      <c r="L104" s="3">
        <f t="shared" si="5"/>
        <v>0.33599999999999997</v>
      </c>
    </row>
    <row r="105" spans="1:12" x14ac:dyDescent="0.3">
      <c r="A105" t="s">
        <v>103</v>
      </c>
      <c r="B105" t="s">
        <v>254</v>
      </c>
      <c r="C105" t="s">
        <v>300</v>
      </c>
      <c r="D105" s="5">
        <v>56</v>
      </c>
      <c r="E105" s="5">
        <v>65</v>
      </c>
      <c r="F105" s="5">
        <v>46</v>
      </c>
      <c r="G105" s="5">
        <v>68</v>
      </c>
      <c r="H105" s="5">
        <v>65</v>
      </c>
      <c r="I105" s="5">
        <f t="shared" si="3"/>
        <v>300</v>
      </c>
      <c r="J105" s="5">
        <v>500</v>
      </c>
      <c r="K105" s="4">
        <f t="shared" si="4"/>
        <v>0.6</v>
      </c>
      <c r="L105" s="3">
        <f t="shared" si="5"/>
        <v>0.4</v>
      </c>
    </row>
    <row r="106" spans="1:12" x14ac:dyDescent="0.3">
      <c r="A106" t="s">
        <v>104</v>
      </c>
      <c r="B106" t="s">
        <v>255</v>
      </c>
      <c r="C106" t="s">
        <v>301</v>
      </c>
      <c r="D106" s="5">
        <v>87</v>
      </c>
      <c r="E106" s="5">
        <v>56</v>
      </c>
      <c r="F106" s="5">
        <v>23</v>
      </c>
      <c r="G106" s="5">
        <v>67</v>
      </c>
      <c r="H106" s="5">
        <v>56</v>
      </c>
      <c r="I106" s="5">
        <f t="shared" si="3"/>
        <v>289</v>
      </c>
      <c r="J106" s="5">
        <v>500</v>
      </c>
      <c r="K106" s="4">
        <f t="shared" si="4"/>
        <v>0.57799999999999996</v>
      </c>
      <c r="L106" s="3">
        <f t="shared" si="5"/>
        <v>0.42200000000000004</v>
      </c>
    </row>
    <row r="107" spans="1:12" x14ac:dyDescent="0.3">
      <c r="A107" t="s">
        <v>105</v>
      </c>
      <c r="B107" t="s">
        <v>256</v>
      </c>
      <c r="C107" t="s">
        <v>301</v>
      </c>
      <c r="D107" s="5">
        <v>89</v>
      </c>
      <c r="E107" s="5">
        <v>43</v>
      </c>
      <c r="F107" s="5">
        <v>66</v>
      </c>
      <c r="G107" s="5">
        <v>46</v>
      </c>
      <c r="H107" s="5">
        <v>87</v>
      </c>
      <c r="I107" s="5">
        <f t="shared" si="3"/>
        <v>331</v>
      </c>
      <c r="J107" s="5">
        <v>500</v>
      </c>
      <c r="K107" s="4">
        <f t="shared" si="4"/>
        <v>0.66200000000000003</v>
      </c>
      <c r="L107" s="3">
        <f t="shared" si="5"/>
        <v>0.33799999999999997</v>
      </c>
    </row>
    <row r="108" spans="1:12" x14ac:dyDescent="0.3">
      <c r="A108" t="s">
        <v>106</v>
      </c>
      <c r="B108" t="s">
        <v>257</v>
      </c>
      <c r="C108" t="s">
        <v>304</v>
      </c>
      <c r="D108" s="5">
        <v>78</v>
      </c>
      <c r="E108" s="5">
        <v>76</v>
      </c>
      <c r="F108" s="5">
        <v>87</v>
      </c>
      <c r="G108" s="5">
        <v>23</v>
      </c>
      <c r="H108" s="5">
        <v>89</v>
      </c>
      <c r="I108" s="5">
        <f t="shared" si="3"/>
        <v>353</v>
      </c>
      <c r="J108" s="5">
        <v>500</v>
      </c>
      <c r="K108" s="4">
        <f t="shared" si="4"/>
        <v>0.70599999999999996</v>
      </c>
      <c r="L108" s="3">
        <f t="shared" si="5"/>
        <v>0.29400000000000004</v>
      </c>
    </row>
    <row r="109" spans="1:12" x14ac:dyDescent="0.3">
      <c r="A109" t="s">
        <v>107</v>
      </c>
      <c r="B109" t="s">
        <v>258</v>
      </c>
      <c r="C109" t="s">
        <v>301</v>
      </c>
      <c r="D109" s="5">
        <v>41</v>
      </c>
      <c r="E109" s="5">
        <v>46</v>
      </c>
      <c r="F109" s="5">
        <v>65</v>
      </c>
      <c r="G109" s="5">
        <v>89</v>
      </c>
      <c r="H109" s="5">
        <v>78</v>
      </c>
      <c r="I109" s="5">
        <f t="shared" si="3"/>
        <v>319</v>
      </c>
      <c r="J109" s="5">
        <v>500</v>
      </c>
      <c r="K109" s="4">
        <f t="shared" si="4"/>
        <v>0.63800000000000001</v>
      </c>
      <c r="L109" s="3">
        <f t="shared" si="5"/>
        <v>0.36199999999999999</v>
      </c>
    </row>
    <row r="110" spans="1:12" x14ac:dyDescent="0.3">
      <c r="A110" t="s">
        <v>108</v>
      </c>
      <c r="B110" t="s">
        <v>259</v>
      </c>
      <c r="C110" t="s">
        <v>301</v>
      </c>
      <c r="D110" s="5">
        <v>45</v>
      </c>
      <c r="E110" s="5">
        <v>47</v>
      </c>
      <c r="F110" s="5">
        <v>78</v>
      </c>
      <c r="G110" s="5">
        <v>57</v>
      </c>
      <c r="H110" s="5">
        <v>41</v>
      </c>
      <c r="I110" s="5">
        <f t="shared" si="3"/>
        <v>268</v>
      </c>
      <c r="J110" s="5">
        <v>500</v>
      </c>
      <c r="K110" s="4">
        <f t="shared" si="4"/>
        <v>0.53600000000000003</v>
      </c>
      <c r="L110" s="3">
        <f t="shared" si="5"/>
        <v>0.46399999999999997</v>
      </c>
    </row>
    <row r="111" spans="1:12" x14ac:dyDescent="0.3">
      <c r="A111" t="s">
        <v>109</v>
      </c>
      <c r="B111" t="s">
        <v>260</v>
      </c>
      <c r="C111" t="s">
        <v>301</v>
      </c>
      <c r="D111" s="5">
        <v>75</v>
      </c>
      <c r="E111" s="5">
        <v>68</v>
      </c>
      <c r="F111" s="5">
        <v>54</v>
      </c>
      <c r="G111" s="5">
        <v>68</v>
      </c>
      <c r="H111" s="5">
        <v>45</v>
      </c>
      <c r="I111" s="5">
        <f t="shared" si="3"/>
        <v>310</v>
      </c>
      <c r="J111" s="5">
        <v>500</v>
      </c>
      <c r="K111" s="4">
        <f t="shared" si="4"/>
        <v>0.62</v>
      </c>
      <c r="L111" s="3">
        <f t="shared" si="5"/>
        <v>0.38</v>
      </c>
    </row>
    <row r="112" spans="1:12" x14ac:dyDescent="0.3">
      <c r="A112" t="s">
        <v>110</v>
      </c>
      <c r="B112" t="s">
        <v>261</v>
      </c>
      <c r="C112" t="s">
        <v>300</v>
      </c>
      <c r="D112" s="5">
        <v>67</v>
      </c>
      <c r="E112" s="5">
        <v>67</v>
      </c>
      <c r="F112" s="5">
        <v>68</v>
      </c>
      <c r="G112" s="5">
        <v>89</v>
      </c>
      <c r="H112" s="5">
        <v>75</v>
      </c>
      <c r="I112" s="5">
        <f t="shared" si="3"/>
        <v>366</v>
      </c>
      <c r="J112" s="5">
        <v>500</v>
      </c>
      <c r="K112" s="4">
        <f t="shared" si="4"/>
        <v>0.73199999999999998</v>
      </c>
      <c r="L112" s="3">
        <f t="shared" si="5"/>
        <v>0.26800000000000002</v>
      </c>
    </row>
    <row r="113" spans="1:12" x14ac:dyDescent="0.3">
      <c r="A113" t="s">
        <v>111</v>
      </c>
      <c r="B113" t="s">
        <v>262</v>
      </c>
      <c r="C113" t="s">
        <v>302</v>
      </c>
      <c r="D113" s="5">
        <v>78</v>
      </c>
      <c r="E113" s="5">
        <v>46</v>
      </c>
      <c r="F113" s="5">
        <v>42</v>
      </c>
      <c r="G113" s="5">
        <v>56</v>
      </c>
      <c r="H113" s="5">
        <v>67</v>
      </c>
      <c r="I113" s="5">
        <f t="shared" si="3"/>
        <v>289</v>
      </c>
      <c r="J113" s="5">
        <v>500</v>
      </c>
      <c r="K113" s="4">
        <f t="shared" si="4"/>
        <v>0.57799999999999996</v>
      </c>
      <c r="L113" s="3">
        <f t="shared" si="5"/>
        <v>0.42200000000000004</v>
      </c>
    </row>
    <row r="114" spans="1:12" x14ac:dyDescent="0.3">
      <c r="A114" t="s">
        <v>112</v>
      </c>
      <c r="B114" t="s">
        <v>263</v>
      </c>
      <c r="C114" t="s">
        <v>306</v>
      </c>
      <c r="D114" s="5">
        <v>46</v>
      </c>
      <c r="E114" s="5">
        <v>23</v>
      </c>
      <c r="F114" s="5">
        <v>45</v>
      </c>
      <c r="G114" s="5">
        <v>98</v>
      </c>
      <c r="H114" s="5">
        <v>78</v>
      </c>
      <c r="I114" s="5">
        <f t="shared" si="3"/>
        <v>290</v>
      </c>
      <c r="J114" s="5">
        <v>500</v>
      </c>
      <c r="K114" s="4">
        <f t="shared" si="4"/>
        <v>0.57999999999999996</v>
      </c>
      <c r="L114" s="3">
        <f t="shared" si="5"/>
        <v>0.42000000000000004</v>
      </c>
    </row>
    <row r="115" spans="1:12" x14ac:dyDescent="0.3">
      <c r="A115" t="s">
        <v>113</v>
      </c>
      <c r="B115" t="s">
        <v>264</v>
      </c>
      <c r="C115" t="s">
        <v>306</v>
      </c>
      <c r="D115" s="5">
        <v>87</v>
      </c>
      <c r="E115" s="5">
        <v>66</v>
      </c>
      <c r="F115" s="5">
        <v>67</v>
      </c>
      <c r="G115" s="5">
        <v>68</v>
      </c>
      <c r="H115" s="5">
        <v>46</v>
      </c>
      <c r="I115" s="5">
        <f t="shared" si="3"/>
        <v>334</v>
      </c>
      <c r="J115" s="5">
        <v>500</v>
      </c>
      <c r="K115" s="4">
        <f t="shared" si="4"/>
        <v>0.66800000000000004</v>
      </c>
      <c r="L115" s="3">
        <f t="shared" si="5"/>
        <v>0.33199999999999996</v>
      </c>
    </row>
    <row r="116" spans="1:12" x14ac:dyDescent="0.3">
      <c r="A116" t="s">
        <v>114</v>
      </c>
      <c r="B116" t="s">
        <v>265</v>
      </c>
      <c r="C116" t="s">
        <v>301</v>
      </c>
      <c r="D116" s="5">
        <v>65</v>
      </c>
      <c r="E116" s="5">
        <v>87</v>
      </c>
      <c r="F116" s="5">
        <v>78</v>
      </c>
      <c r="G116" s="5">
        <v>89</v>
      </c>
      <c r="H116" s="5">
        <v>87</v>
      </c>
      <c r="I116" s="5">
        <f t="shared" si="3"/>
        <v>406</v>
      </c>
      <c r="J116" s="5">
        <v>500</v>
      </c>
      <c r="K116" s="4">
        <f t="shared" si="4"/>
        <v>0.81200000000000006</v>
      </c>
      <c r="L116" s="3">
        <f t="shared" si="5"/>
        <v>0.18799999999999994</v>
      </c>
    </row>
    <row r="117" spans="1:12" x14ac:dyDescent="0.3">
      <c r="A117" t="s">
        <v>115</v>
      </c>
      <c r="B117" t="s">
        <v>266</v>
      </c>
      <c r="C117" t="s">
        <v>302</v>
      </c>
      <c r="D117" s="5">
        <v>76</v>
      </c>
      <c r="E117" s="5">
        <v>65</v>
      </c>
      <c r="F117" s="5">
        <v>80</v>
      </c>
      <c r="G117" s="5">
        <v>45</v>
      </c>
      <c r="H117" s="5">
        <v>65</v>
      </c>
      <c r="I117" s="5">
        <f t="shared" si="3"/>
        <v>331</v>
      </c>
      <c r="J117" s="5">
        <v>500</v>
      </c>
      <c r="K117" s="4">
        <f t="shared" si="4"/>
        <v>0.66200000000000003</v>
      </c>
      <c r="L117" s="3">
        <f t="shared" si="5"/>
        <v>0.33799999999999997</v>
      </c>
    </row>
    <row r="118" spans="1:12" x14ac:dyDescent="0.3">
      <c r="A118" t="s">
        <v>116</v>
      </c>
      <c r="B118" t="s">
        <v>267</v>
      </c>
      <c r="C118" t="s">
        <v>307</v>
      </c>
      <c r="D118" s="5">
        <v>76</v>
      </c>
      <c r="E118" s="5">
        <v>78</v>
      </c>
      <c r="F118" s="5">
        <v>57</v>
      </c>
      <c r="G118" s="5">
        <v>67</v>
      </c>
      <c r="H118" s="5">
        <v>76</v>
      </c>
      <c r="I118" s="5">
        <f t="shared" si="3"/>
        <v>354</v>
      </c>
      <c r="J118" s="5">
        <v>500</v>
      </c>
      <c r="K118" s="4">
        <f t="shared" si="4"/>
        <v>0.70799999999999996</v>
      </c>
      <c r="L118" s="3">
        <f t="shared" si="5"/>
        <v>0.29200000000000004</v>
      </c>
    </row>
    <row r="119" spans="1:12" x14ac:dyDescent="0.3">
      <c r="A119" t="s">
        <v>117</v>
      </c>
      <c r="B119" t="s">
        <v>268</v>
      </c>
      <c r="C119" t="s">
        <v>306</v>
      </c>
      <c r="D119" s="5">
        <v>56</v>
      </c>
      <c r="E119" s="5">
        <v>54</v>
      </c>
      <c r="F119" s="5">
        <v>54</v>
      </c>
      <c r="G119" s="5">
        <v>79</v>
      </c>
      <c r="H119" s="5">
        <v>76</v>
      </c>
      <c r="I119" s="5">
        <f t="shared" si="3"/>
        <v>319</v>
      </c>
      <c r="J119" s="5">
        <v>500</v>
      </c>
      <c r="K119" s="4">
        <f t="shared" si="4"/>
        <v>0.63800000000000001</v>
      </c>
      <c r="L119" s="3">
        <f t="shared" si="5"/>
        <v>0.36199999999999999</v>
      </c>
    </row>
    <row r="120" spans="1:12" x14ac:dyDescent="0.3">
      <c r="A120" t="s">
        <v>118</v>
      </c>
      <c r="B120" t="s">
        <v>269</v>
      </c>
      <c r="C120" t="s">
        <v>302</v>
      </c>
      <c r="D120" s="5">
        <v>54</v>
      </c>
      <c r="E120" s="5">
        <v>68</v>
      </c>
      <c r="F120" s="5">
        <v>60</v>
      </c>
      <c r="G120" s="5">
        <v>69</v>
      </c>
      <c r="H120" s="5">
        <v>56</v>
      </c>
      <c r="I120" s="5">
        <f t="shared" si="3"/>
        <v>307</v>
      </c>
      <c r="J120" s="5">
        <v>500</v>
      </c>
      <c r="K120" s="4">
        <f t="shared" si="4"/>
        <v>0.61399999999999999</v>
      </c>
      <c r="L120" s="3">
        <f t="shared" si="5"/>
        <v>0.38600000000000001</v>
      </c>
    </row>
    <row r="121" spans="1:12" x14ac:dyDescent="0.3">
      <c r="A121" t="s">
        <v>119</v>
      </c>
      <c r="B121" t="s">
        <v>270</v>
      </c>
      <c r="C121" t="s">
        <v>307</v>
      </c>
      <c r="D121" s="5">
        <v>56</v>
      </c>
      <c r="E121" s="5">
        <v>42</v>
      </c>
      <c r="F121" s="5">
        <v>35</v>
      </c>
      <c r="G121" s="5">
        <v>84</v>
      </c>
      <c r="H121" s="5">
        <v>54</v>
      </c>
      <c r="I121" s="5">
        <f t="shared" si="3"/>
        <v>271</v>
      </c>
      <c r="J121" s="5">
        <v>500</v>
      </c>
      <c r="K121" s="4">
        <f t="shared" si="4"/>
        <v>0.54200000000000004</v>
      </c>
      <c r="L121" s="3">
        <f t="shared" si="5"/>
        <v>0.45799999999999996</v>
      </c>
    </row>
    <row r="122" spans="1:12" x14ac:dyDescent="0.3">
      <c r="A122" t="s">
        <v>120</v>
      </c>
      <c r="B122" t="s">
        <v>271</v>
      </c>
      <c r="C122" t="s">
        <v>302</v>
      </c>
      <c r="D122" s="5">
        <v>54</v>
      </c>
      <c r="E122" s="5">
        <v>45</v>
      </c>
      <c r="F122" s="5">
        <v>57</v>
      </c>
      <c r="G122" s="5">
        <v>78</v>
      </c>
      <c r="H122" s="5">
        <v>56</v>
      </c>
      <c r="I122" s="5">
        <f t="shared" si="3"/>
        <v>290</v>
      </c>
      <c r="J122" s="5">
        <v>500</v>
      </c>
      <c r="K122" s="4">
        <f t="shared" si="4"/>
        <v>0.57999999999999996</v>
      </c>
      <c r="L122" s="3">
        <f t="shared" si="5"/>
        <v>0.42000000000000004</v>
      </c>
    </row>
    <row r="123" spans="1:12" x14ac:dyDescent="0.3">
      <c r="A123" t="s">
        <v>121</v>
      </c>
      <c r="B123" t="s">
        <v>272</v>
      </c>
      <c r="C123" t="s">
        <v>306</v>
      </c>
      <c r="D123" s="5">
        <v>43</v>
      </c>
      <c r="E123" s="5">
        <v>67</v>
      </c>
      <c r="F123" s="5">
        <v>79</v>
      </c>
      <c r="G123" s="5">
        <v>28</v>
      </c>
      <c r="H123" s="5">
        <v>54</v>
      </c>
      <c r="I123" s="5">
        <f t="shared" si="3"/>
        <v>271</v>
      </c>
      <c r="J123" s="5">
        <v>500</v>
      </c>
      <c r="K123" s="4">
        <f t="shared" si="4"/>
        <v>0.54200000000000004</v>
      </c>
      <c r="L123" s="3">
        <f t="shared" si="5"/>
        <v>0.45799999999999996</v>
      </c>
    </row>
    <row r="124" spans="1:12" x14ac:dyDescent="0.3">
      <c r="A124" t="s">
        <v>122</v>
      </c>
      <c r="B124" t="s">
        <v>273</v>
      </c>
      <c r="C124" t="s">
        <v>305</v>
      </c>
      <c r="D124" s="5">
        <v>76</v>
      </c>
      <c r="E124" s="5">
        <v>78</v>
      </c>
      <c r="F124" s="5">
        <v>98</v>
      </c>
      <c r="G124" s="5">
        <v>89</v>
      </c>
      <c r="H124" s="5">
        <v>43</v>
      </c>
      <c r="I124" s="5">
        <f t="shared" si="3"/>
        <v>384</v>
      </c>
      <c r="J124" s="5">
        <v>500</v>
      </c>
      <c r="K124" s="4">
        <f t="shared" si="4"/>
        <v>0.76800000000000002</v>
      </c>
      <c r="L124" s="3">
        <f t="shared" si="5"/>
        <v>0.23199999999999998</v>
      </c>
    </row>
    <row r="125" spans="1:12" x14ac:dyDescent="0.3">
      <c r="A125" t="s">
        <v>123</v>
      </c>
      <c r="B125" t="s">
        <v>274</v>
      </c>
      <c r="C125" t="s">
        <v>305</v>
      </c>
      <c r="D125" s="5">
        <v>45</v>
      </c>
      <c r="E125" s="5">
        <v>80</v>
      </c>
      <c r="F125" s="5">
        <v>65</v>
      </c>
      <c r="G125" s="5">
        <v>67</v>
      </c>
      <c r="H125" s="5">
        <v>76</v>
      </c>
      <c r="I125" s="5">
        <f t="shared" si="3"/>
        <v>333</v>
      </c>
      <c r="J125" s="5">
        <v>500</v>
      </c>
      <c r="K125" s="4">
        <f t="shared" si="4"/>
        <v>0.66600000000000004</v>
      </c>
      <c r="L125" s="3">
        <f t="shared" si="5"/>
        <v>0.33399999999999996</v>
      </c>
    </row>
    <row r="126" spans="1:12" x14ac:dyDescent="0.3">
      <c r="A126" t="s">
        <v>124</v>
      </c>
      <c r="B126" t="s">
        <v>275</v>
      </c>
      <c r="C126" t="s">
        <v>300</v>
      </c>
      <c r="D126" s="5">
        <v>86</v>
      </c>
      <c r="E126" s="5">
        <v>57</v>
      </c>
      <c r="F126" s="5">
        <v>56</v>
      </c>
      <c r="G126" s="5">
        <v>45</v>
      </c>
      <c r="H126" s="5">
        <v>45</v>
      </c>
      <c r="I126" s="5">
        <f t="shared" si="3"/>
        <v>289</v>
      </c>
      <c r="J126" s="5">
        <v>500</v>
      </c>
      <c r="K126" s="4">
        <f t="shared" si="4"/>
        <v>0.57799999999999996</v>
      </c>
      <c r="L126" s="3">
        <f t="shared" si="5"/>
        <v>0.42200000000000004</v>
      </c>
    </row>
    <row r="127" spans="1:12" x14ac:dyDescent="0.3">
      <c r="A127" t="s">
        <v>125</v>
      </c>
      <c r="B127" t="s">
        <v>276</v>
      </c>
      <c r="C127" t="s">
        <v>300</v>
      </c>
      <c r="D127" s="5">
        <v>56</v>
      </c>
      <c r="E127" s="5">
        <v>78</v>
      </c>
      <c r="F127" s="5">
        <v>87</v>
      </c>
      <c r="G127" s="5">
        <v>54</v>
      </c>
      <c r="H127" s="5">
        <v>47</v>
      </c>
      <c r="I127" s="5">
        <f t="shared" si="3"/>
        <v>322</v>
      </c>
      <c r="J127" s="5">
        <v>500</v>
      </c>
      <c r="K127" s="4">
        <f t="shared" si="4"/>
        <v>0.64400000000000002</v>
      </c>
      <c r="L127" s="3">
        <f t="shared" si="5"/>
        <v>0.35599999999999998</v>
      </c>
    </row>
    <row r="128" spans="1:12" x14ac:dyDescent="0.3">
      <c r="A128" t="s">
        <v>126</v>
      </c>
      <c r="B128" t="s">
        <v>277</v>
      </c>
      <c r="C128" t="s">
        <v>301</v>
      </c>
      <c r="D128" s="5">
        <v>67</v>
      </c>
      <c r="E128" s="5">
        <v>41</v>
      </c>
      <c r="F128" s="5">
        <v>89</v>
      </c>
      <c r="G128" s="5">
        <v>76</v>
      </c>
      <c r="H128" s="5">
        <v>79</v>
      </c>
      <c r="I128" s="5">
        <f t="shared" si="3"/>
        <v>352</v>
      </c>
      <c r="J128" s="5">
        <v>500</v>
      </c>
      <c r="K128" s="4">
        <f t="shared" si="4"/>
        <v>0.70399999999999996</v>
      </c>
      <c r="L128" s="3">
        <f t="shared" si="5"/>
        <v>0.29600000000000004</v>
      </c>
    </row>
    <row r="129" spans="1:12" x14ac:dyDescent="0.3">
      <c r="A129" t="s">
        <v>127</v>
      </c>
      <c r="B129" t="s">
        <v>278</v>
      </c>
      <c r="C129" t="s">
        <v>302</v>
      </c>
      <c r="D129" s="5">
        <v>45</v>
      </c>
      <c r="E129" s="5">
        <v>45</v>
      </c>
      <c r="F129" s="5">
        <v>78</v>
      </c>
      <c r="G129" s="5">
        <v>46</v>
      </c>
      <c r="H129" s="5">
        <v>87</v>
      </c>
      <c r="I129" s="5">
        <f t="shared" si="3"/>
        <v>301</v>
      </c>
      <c r="J129" s="5">
        <v>500</v>
      </c>
      <c r="K129" s="4">
        <f t="shared" si="4"/>
        <v>0.60199999999999998</v>
      </c>
      <c r="L129" s="3">
        <f t="shared" si="5"/>
        <v>0.39800000000000002</v>
      </c>
    </row>
    <row r="130" spans="1:12" x14ac:dyDescent="0.3">
      <c r="A130" t="s">
        <v>128</v>
      </c>
      <c r="B130" t="s">
        <v>279</v>
      </c>
      <c r="C130" t="s">
        <v>307</v>
      </c>
      <c r="D130" s="5">
        <v>54</v>
      </c>
      <c r="E130" s="5">
        <v>75</v>
      </c>
      <c r="F130" s="5">
        <v>41</v>
      </c>
      <c r="G130" s="5">
        <v>35</v>
      </c>
      <c r="H130" s="5">
        <v>75</v>
      </c>
      <c r="I130" s="5">
        <f t="shared" ref="I130:I150" si="6">SUM(D130:H130)</f>
        <v>280</v>
      </c>
      <c r="J130" s="5">
        <v>500</v>
      </c>
      <c r="K130" s="4">
        <f t="shared" ref="K130:K150" si="7">I130/J130</f>
        <v>0.56000000000000005</v>
      </c>
      <c r="L130" s="3">
        <f t="shared" ref="L130:L150" si="8">100%-K130</f>
        <v>0.43999999999999995</v>
      </c>
    </row>
    <row r="131" spans="1:12" x14ac:dyDescent="0.3">
      <c r="A131" t="s">
        <v>129</v>
      </c>
      <c r="B131" t="s">
        <v>280</v>
      </c>
      <c r="C131" t="s">
        <v>307</v>
      </c>
      <c r="D131" s="5">
        <v>76</v>
      </c>
      <c r="E131" s="5">
        <v>67</v>
      </c>
      <c r="F131" s="5">
        <v>45</v>
      </c>
      <c r="G131" s="5">
        <v>34</v>
      </c>
      <c r="H131" s="5">
        <v>78</v>
      </c>
      <c r="I131" s="5">
        <f t="shared" si="6"/>
        <v>300</v>
      </c>
      <c r="J131" s="5">
        <v>500</v>
      </c>
      <c r="K131" s="4">
        <f t="shared" si="7"/>
        <v>0.6</v>
      </c>
      <c r="L131" s="3">
        <f t="shared" si="8"/>
        <v>0.4</v>
      </c>
    </row>
    <row r="132" spans="1:12" x14ac:dyDescent="0.3">
      <c r="A132" t="s">
        <v>130</v>
      </c>
      <c r="B132" t="s">
        <v>281</v>
      </c>
      <c r="C132" t="s">
        <v>302</v>
      </c>
      <c r="D132" s="5">
        <v>46</v>
      </c>
      <c r="E132" s="5">
        <v>78</v>
      </c>
      <c r="F132" s="5">
        <v>75</v>
      </c>
      <c r="G132" s="5">
        <v>78</v>
      </c>
      <c r="H132" s="5">
        <v>45</v>
      </c>
      <c r="I132" s="5">
        <f t="shared" si="6"/>
        <v>322</v>
      </c>
      <c r="J132" s="5">
        <v>500</v>
      </c>
      <c r="K132" s="4">
        <f t="shared" si="7"/>
        <v>0.64400000000000002</v>
      </c>
      <c r="L132" s="3">
        <f t="shared" si="8"/>
        <v>0.35599999999999998</v>
      </c>
    </row>
    <row r="133" spans="1:12" x14ac:dyDescent="0.3">
      <c r="A133" t="s">
        <v>131</v>
      </c>
      <c r="B133" t="s">
        <v>282</v>
      </c>
      <c r="C133" t="s">
        <v>307</v>
      </c>
      <c r="D133" s="5">
        <v>35</v>
      </c>
      <c r="E133" s="5">
        <v>46</v>
      </c>
      <c r="F133" s="5">
        <v>67</v>
      </c>
      <c r="G133" s="5">
        <v>56</v>
      </c>
      <c r="H133" s="5">
        <v>76</v>
      </c>
      <c r="I133" s="5">
        <f t="shared" si="6"/>
        <v>280</v>
      </c>
      <c r="J133" s="5">
        <v>500</v>
      </c>
      <c r="K133" s="4">
        <f t="shared" si="7"/>
        <v>0.56000000000000005</v>
      </c>
      <c r="L133" s="3">
        <f t="shared" si="8"/>
        <v>0.43999999999999995</v>
      </c>
    </row>
    <row r="134" spans="1:12" x14ac:dyDescent="0.3">
      <c r="A134" t="s">
        <v>132</v>
      </c>
      <c r="B134" t="s">
        <v>283</v>
      </c>
      <c r="C134" t="s">
        <v>302</v>
      </c>
      <c r="D134" s="5">
        <v>34</v>
      </c>
      <c r="E134" s="5">
        <v>87</v>
      </c>
      <c r="F134" s="5">
        <v>78</v>
      </c>
      <c r="G134" s="5">
        <v>45</v>
      </c>
      <c r="H134" s="5">
        <v>58</v>
      </c>
      <c r="I134" s="5">
        <f t="shared" si="6"/>
        <v>302</v>
      </c>
      <c r="J134" s="5">
        <v>500</v>
      </c>
      <c r="K134" s="4">
        <f t="shared" si="7"/>
        <v>0.60399999999999998</v>
      </c>
      <c r="L134" s="3">
        <f t="shared" si="8"/>
        <v>0.39600000000000002</v>
      </c>
    </row>
    <row r="135" spans="1:12" x14ac:dyDescent="0.3">
      <c r="A135" t="s">
        <v>133</v>
      </c>
      <c r="B135" t="s">
        <v>284</v>
      </c>
      <c r="C135" t="s">
        <v>302</v>
      </c>
      <c r="D135" s="5">
        <v>78</v>
      </c>
      <c r="E135" s="5">
        <v>65</v>
      </c>
      <c r="F135" s="5">
        <v>46</v>
      </c>
      <c r="G135" s="5">
        <v>57</v>
      </c>
      <c r="H135" s="5">
        <v>47</v>
      </c>
      <c r="I135" s="5">
        <f t="shared" si="6"/>
        <v>293</v>
      </c>
      <c r="J135" s="5">
        <v>500</v>
      </c>
      <c r="K135" s="4">
        <f t="shared" si="7"/>
        <v>0.58599999999999997</v>
      </c>
      <c r="L135" s="3">
        <f t="shared" si="8"/>
        <v>0.41400000000000003</v>
      </c>
    </row>
    <row r="136" spans="1:12" x14ac:dyDescent="0.3">
      <c r="A136" t="s">
        <v>134</v>
      </c>
      <c r="B136" t="s">
        <v>285</v>
      </c>
      <c r="C136" t="s">
        <v>307</v>
      </c>
      <c r="D136" s="5">
        <v>56</v>
      </c>
      <c r="E136" s="5">
        <v>76</v>
      </c>
      <c r="F136" s="5">
        <v>87</v>
      </c>
      <c r="G136" s="5">
        <v>45</v>
      </c>
      <c r="H136" s="5">
        <v>74</v>
      </c>
      <c r="I136" s="5">
        <f t="shared" si="6"/>
        <v>338</v>
      </c>
      <c r="J136" s="5">
        <v>500</v>
      </c>
      <c r="K136" s="4">
        <f t="shared" si="7"/>
        <v>0.67600000000000005</v>
      </c>
      <c r="L136" s="3">
        <f t="shared" si="8"/>
        <v>0.32399999999999995</v>
      </c>
    </row>
    <row r="137" spans="1:12" x14ac:dyDescent="0.3">
      <c r="A137" t="s">
        <v>135</v>
      </c>
      <c r="B137" t="s">
        <v>286</v>
      </c>
      <c r="C137" t="s">
        <v>301</v>
      </c>
      <c r="D137" s="5">
        <v>45</v>
      </c>
      <c r="E137" s="5">
        <v>76</v>
      </c>
      <c r="F137" s="5">
        <v>65</v>
      </c>
      <c r="G137" s="5">
        <v>53</v>
      </c>
      <c r="H137" s="5">
        <v>78</v>
      </c>
      <c r="I137" s="5">
        <f t="shared" si="6"/>
        <v>317</v>
      </c>
      <c r="J137" s="5">
        <v>500</v>
      </c>
      <c r="K137" s="4">
        <f t="shared" si="7"/>
        <v>0.63400000000000001</v>
      </c>
      <c r="L137" s="3">
        <f t="shared" si="8"/>
        <v>0.36599999999999999</v>
      </c>
    </row>
    <row r="138" spans="1:12" x14ac:dyDescent="0.3">
      <c r="A138" t="s">
        <v>136</v>
      </c>
      <c r="B138" t="s">
        <v>287</v>
      </c>
      <c r="C138" t="s">
        <v>302</v>
      </c>
      <c r="D138" s="5">
        <v>57</v>
      </c>
      <c r="E138" s="5">
        <v>56</v>
      </c>
      <c r="F138" s="5">
        <v>76</v>
      </c>
      <c r="G138" s="5">
        <v>34</v>
      </c>
      <c r="H138" s="5">
        <v>98</v>
      </c>
      <c r="I138" s="5">
        <f t="shared" si="6"/>
        <v>321</v>
      </c>
      <c r="J138" s="5">
        <v>500</v>
      </c>
      <c r="K138" s="4">
        <f t="shared" si="7"/>
        <v>0.64200000000000002</v>
      </c>
      <c r="L138" s="3">
        <f t="shared" si="8"/>
        <v>0.35799999999999998</v>
      </c>
    </row>
    <row r="139" spans="1:12" x14ac:dyDescent="0.3">
      <c r="A139" t="s">
        <v>137</v>
      </c>
      <c r="B139" t="s">
        <v>288</v>
      </c>
      <c r="C139" t="s">
        <v>307</v>
      </c>
      <c r="D139" s="5">
        <v>45</v>
      </c>
      <c r="E139" s="5">
        <v>54</v>
      </c>
      <c r="F139" s="5">
        <v>76</v>
      </c>
      <c r="G139" s="5">
        <v>46</v>
      </c>
      <c r="H139" s="5">
        <v>34</v>
      </c>
      <c r="I139" s="5">
        <f t="shared" si="6"/>
        <v>255</v>
      </c>
      <c r="J139" s="5">
        <v>500</v>
      </c>
      <c r="K139" s="4">
        <f t="shared" si="7"/>
        <v>0.51</v>
      </c>
      <c r="L139" s="3">
        <f t="shared" si="8"/>
        <v>0.49</v>
      </c>
    </row>
    <row r="140" spans="1:12" x14ac:dyDescent="0.3">
      <c r="A140" t="s">
        <v>138</v>
      </c>
      <c r="B140" t="s">
        <v>289</v>
      </c>
      <c r="C140" t="s">
        <v>300</v>
      </c>
      <c r="D140" s="5">
        <v>53</v>
      </c>
      <c r="E140" s="5">
        <v>56</v>
      </c>
      <c r="F140" s="5">
        <v>56</v>
      </c>
      <c r="G140" s="5">
        <v>46</v>
      </c>
      <c r="H140" s="5">
        <v>56</v>
      </c>
      <c r="I140" s="5">
        <f t="shared" si="6"/>
        <v>267</v>
      </c>
      <c r="J140" s="5">
        <v>500</v>
      </c>
      <c r="K140" s="4">
        <f t="shared" si="7"/>
        <v>0.53400000000000003</v>
      </c>
      <c r="L140" s="3">
        <f t="shared" si="8"/>
        <v>0.46599999999999997</v>
      </c>
    </row>
    <row r="141" spans="1:12" x14ac:dyDescent="0.3">
      <c r="A141" t="s">
        <v>139</v>
      </c>
      <c r="B141" t="s">
        <v>290</v>
      </c>
      <c r="C141" t="s">
        <v>300</v>
      </c>
      <c r="D141" s="5">
        <v>34</v>
      </c>
      <c r="E141" s="5">
        <v>54</v>
      </c>
      <c r="F141" s="5">
        <v>54</v>
      </c>
      <c r="G141" s="5">
        <v>76</v>
      </c>
      <c r="H141" s="5">
        <v>25</v>
      </c>
      <c r="I141" s="5">
        <f t="shared" si="6"/>
        <v>243</v>
      </c>
      <c r="J141" s="5">
        <v>500</v>
      </c>
      <c r="K141" s="4">
        <f t="shared" si="7"/>
        <v>0.48599999999999999</v>
      </c>
      <c r="L141" s="3">
        <f t="shared" si="8"/>
        <v>0.51400000000000001</v>
      </c>
    </row>
    <row r="142" spans="1:12" x14ac:dyDescent="0.3">
      <c r="A142" t="s">
        <v>140</v>
      </c>
      <c r="B142" t="s">
        <v>291</v>
      </c>
      <c r="C142" t="s">
        <v>302</v>
      </c>
      <c r="D142" s="5">
        <v>46</v>
      </c>
      <c r="E142" s="5">
        <v>43</v>
      </c>
      <c r="F142" s="5">
        <v>56</v>
      </c>
      <c r="G142" s="5">
        <v>35</v>
      </c>
      <c r="H142" s="5">
        <v>35</v>
      </c>
      <c r="I142" s="5">
        <f t="shared" si="6"/>
        <v>215</v>
      </c>
      <c r="J142" s="5">
        <v>500</v>
      </c>
      <c r="K142" s="4">
        <f t="shared" si="7"/>
        <v>0.43</v>
      </c>
      <c r="L142" s="3">
        <f t="shared" si="8"/>
        <v>0.57000000000000006</v>
      </c>
    </row>
    <row r="143" spans="1:12" x14ac:dyDescent="0.3">
      <c r="A143" t="s">
        <v>141</v>
      </c>
      <c r="B143" t="s">
        <v>292</v>
      </c>
      <c r="C143" t="s">
        <v>302</v>
      </c>
      <c r="D143" s="5">
        <v>46</v>
      </c>
      <c r="E143" s="5">
        <v>76</v>
      </c>
      <c r="F143" s="5">
        <v>54</v>
      </c>
      <c r="G143" s="5">
        <v>75</v>
      </c>
      <c r="H143" s="5">
        <v>48</v>
      </c>
      <c r="I143" s="5">
        <f t="shared" si="6"/>
        <v>299</v>
      </c>
      <c r="J143" s="5">
        <v>500</v>
      </c>
      <c r="K143" s="4">
        <f t="shared" si="7"/>
        <v>0.59799999999999998</v>
      </c>
      <c r="L143" s="3">
        <f t="shared" si="8"/>
        <v>0.40200000000000002</v>
      </c>
    </row>
    <row r="144" spans="1:12" x14ac:dyDescent="0.3">
      <c r="A144" t="s">
        <v>142</v>
      </c>
      <c r="B144" t="s">
        <v>242</v>
      </c>
      <c r="C144" t="s">
        <v>301</v>
      </c>
      <c r="D144" s="5">
        <v>76</v>
      </c>
      <c r="E144" s="5">
        <v>45</v>
      </c>
      <c r="F144" s="5">
        <v>43</v>
      </c>
      <c r="G144" s="5">
        <v>35</v>
      </c>
      <c r="H144" s="5">
        <v>79</v>
      </c>
      <c r="I144" s="5">
        <f>SUM(D144:H144)</f>
        <v>278</v>
      </c>
      <c r="J144" s="5">
        <v>500</v>
      </c>
      <c r="K144" s="4">
        <f t="shared" si="7"/>
        <v>0.55600000000000005</v>
      </c>
      <c r="L144" s="3">
        <f t="shared" si="8"/>
        <v>0.44399999999999995</v>
      </c>
    </row>
    <row r="145" spans="1:12" x14ac:dyDescent="0.3">
      <c r="A145" t="s">
        <v>143</v>
      </c>
      <c r="B145" t="s">
        <v>293</v>
      </c>
      <c r="C145" t="s">
        <v>302</v>
      </c>
      <c r="D145" s="5">
        <v>35</v>
      </c>
      <c r="E145" s="5">
        <v>86</v>
      </c>
      <c r="F145" s="5">
        <v>76</v>
      </c>
      <c r="G145" s="5">
        <v>67</v>
      </c>
      <c r="H145" s="5">
        <v>70</v>
      </c>
      <c r="I145" s="5">
        <f t="shared" si="6"/>
        <v>334</v>
      </c>
      <c r="J145" s="5">
        <v>500</v>
      </c>
      <c r="K145" s="4">
        <f t="shared" si="7"/>
        <v>0.66800000000000004</v>
      </c>
      <c r="L145" s="3">
        <f t="shared" si="8"/>
        <v>0.33199999999999996</v>
      </c>
    </row>
    <row r="146" spans="1:12" x14ac:dyDescent="0.3">
      <c r="A146" t="s">
        <v>144</v>
      </c>
      <c r="B146" t="s">
        <v>294</v>
      </c>
      <c r="C146" t="s">
        <v>307</v>
      </c>
      <c r="D146" s="5">
        <v>75</v>
      </c>
      <c r="E146" s="5">
        <v>56</v>
      </c>
      <c r="F146" s="5">
        <v>45</v>
      </c>
      <c r="G146" s="5">
        <v>55</v>
      </c>
      <c r="H146" s="5">
        <v>60</v>
      </c>
      <c r="I146" s="5">
        <f t="shared" si="6"/>
        <v>291</v>
      </c>
      <c r="J146" s="5">
        <v>500</v>
      </c>
      <c r="K146" s="4">
        <f t="shared" si="7"/>
        <v>0.58199999999999996</v>
      </c>
      <c r="L146" s="3">
        <f t="shared" si="8"/>
        <v>0.41800000000000004</v>
      </c>
    </row>
    <row r="147" spans="1:12" x14ac:dyDescent="0.3">
      <c r="A147" t="s">
        <v>145</v>
      </c>
      <c r="B147" t="s">
        <v>295</v>
      </c>
      <c r="C147" t="s">
        <v>307</v>
      </c>
      <c r="D147" s="5">
        <v>35</v>
      </c>
      <c r="E147" s="5">
        <v>67</v>
      </c>
      <c r="F147" s="5">
        <v>23</v>
      </c>
      <c r="G147" s="5">
        <v>65</v>
      </c>
      <c r="H147" s="5">
        <v>29</v>
      </c>
      <c r="I147" s="5">
        <f t="shared" si="6"/>
        <v>219</v>
      </c>
      <c r="J147" s="5">
        <v>500</v>
      </c>
      <c r="K147" s="4">
        <f t="shared" si="7"/>
        <v>0.438</v>
      </c>
      <c r="L147" s="3">
        <f t="shared" si="8"/>
        <v>0.56200000000000006</v>
      </c>
    </row>
    <row r="148" spans="1:12" x14ac:dyDescent="0.3">
      <c r="A148" t="s">
        <v>146</v>
      </c>
      <c r="B148" t="s">
        <v>296</v>
      </c>
      <c r="C148" t="s">
        <v>302</v>
      </c>
      <c r="D148" s="5">
        <v>67</v>
      </c>
      <c r="E148" s="5">
        <v>35</v>
      </c>
      <c r="F148" s="5">
        <v>43</v>
      </c>
      <c r="G148" s="5">
        <v>56</v>
      </c>
      <c r="H148" s="5">
        <v>80</v>
      </c>
      <c r="I148" s="5">
        <f t="shared" si="6"/>
        <v>281</v>
      </c>
      <c r="J148" s="5">
        <v>500</v>
      </c>
      <c r="K148" s="4">
        <f t="shared" si="7"/>
        <v>0.56200000000000006</v>
      </c>
      <c r="L148" s="3">
        <f t="shared" si="8"/>
        <v>0.43799999999999994</v>
      </c>
    </row>
    <row r="149" spans="1:12" x14ac:dyDescent="0.3">
      <c r="A149" t="s">
        <v>147</v>
      </c>
      <c r="B149" t="s">
        <v>297</v>
      </c>
      <c r="C149" t="s">
        <v>306</v>
      </c>
      <c r="D149" s="5">
        <v>87</v>
      </c>
      <c r="E149" s="5">
        <v>43</v>
      </c>
      <c r="F149" s="5">
        <v>23</v>
      </c>
      <c r="G149" s="5">
        <v>43</v>
      </c>
      <c r="H149" s="5">
        <v>20</v>
      </c>
      <c r="I149" s="5">
        <f t="shared" si="6"/>
        <v>216</v>
      </c>
      <c r="J149" s="5">
        <v>500</v>
      </c>
      <c r="K149" s="4">
        <f t="shared" si="7"/>
        <v>0.432</v>
      </c>
      <c r="L149" s="3">
        <f t="shared" si="8"/>
        <v>0.56800000000000006</v>
      </c>
    </row>
    <row r="150" spans="1:12" ht="15" customHeight="1" x14ac:dyDescent="0.3">
      <c r="A150" t="s">
        <v>148</v>
      </c>
      <c r="B150" t="s">
        <v>298</v>
      </c>
      <c r="C150" t="s">
        <v>306</v>
      </c>
      <c r="D150" s="5">
        <v>67</v>
      </c>
      <c r="E150" s="5">
        <v>43</v>
      </c>
      <c r="F150" s="5">
        <v>29</v>
      </c>
      <c r="G150" s="5">
        <v>76</v>
      </c>
      <c r="H150" s="5">
        <v>10</v>
      </c>
      <c r="I150" s="5">
        <f t="shared" si="6"/>
        <v>225</v>
      </c>
      <c r="J150" s="5">
        <v>500</v>
      </c>
      <c r="K150" s="4">
        <f t="shared" si="7"/>
        <v>0.45</v>
      </c>
      <c r="L150" s="3">
        <f t="shared" si="8"/>
        <v>0.55000000000000004</v>
      </c>
    </row>
  </sheetData>
  <phoneticPr fontId="3" type="noConversion"/>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Ayush_PC</dc:creator>
  <cp:lastModifiedBy>Ayush_PC</cp:lastModifiedBy>
  <dcterms:created xsi:type="dcterms:W3CDTF">2026-06-06T17:34:49Z</dcterms:created>
  <dcterms:modified xsi:type="dcterms:W3CDTF">2026-06-13T09:51:42Z</dcterms:modified>
</cp:coreProperties>
</file>